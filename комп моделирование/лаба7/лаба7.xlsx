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7"/>
  <workbookPr/>
  <mc:AlternateContent xmlns:mc="http://schemas.openxmlformats.org/markup-compatibility/2006">
    <mc:Choice Requires="x15">
      <x15ac:absPath xmlns:x15ac="http://schemas.microsoft.com/office/spreadsheetml/2010/11/ac" url="C:\Users\Emin\4_semestr\комп моделирование\"/>
    </mc:Choice>
  </mc:AlternateContent>
  <xr:revisionPtr revIDLastSave="0" documentId="13_ncr:1_{867A09C2-4808-4755-B139-B234526F674F}" xr6:coauthVersionLast="47" xr6:coauthVersionMax="47" xr10:uidLastSave="{00000000-0000-0000-0000-000000000000}"/>
  <bookViews>
    <workbookView xWindow="-105" yWindow="0" windowWidth="14610" windowHeight="16305" activeTab="2" xr2:uid="{00000000-000D-0000-FFFF-FFFF00000000}"/>
  </bookViews>
  <sheets>
    <sheet name="Часть 1.1" sheetId="1" r:id="rId1"/>
    <sheet name="Часть 1.2" sheetId="2" r:id="rId2"/>
    <sheet name="Часть 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C21" i="4"/>
  <c r="B14" i="4"/>
  <c r="B21" i="4"/>
  <c r="E2" i="2" a="1"/>
  <c r="E2" i="2" s="1"/>
  <c r="F2" i="1" a="1"/>
  <c r="F2" i="1" s="1"/>
  <c r="C13" i="4"/>
  <c r="B20" i="4"/>
  <c r="B13" i="4"/>
  <c r="C6" i="4"/>
  <c r="D5" i="4" s="1"/>
  <c r="D2" i="4"/>
  <c r="C22" i="4" s="1"/>
  <c r="C2" i="4"/>
  <c r="C3" i="4"/>
  <c r="C7" i="4"/>
  <c r="C4" i="4"/>
  <c r="B23" i="4" s="1"/>
  <c r="C5" i="4"/>
  <c r="D4" i="4" s="1"/>
  <c r="F18" i="2" a="1"/>
  <c r="F18" i="2" s="1"/>
  <c r="F17" i="2" a="1"/>
  <c r="F17" i="2" s="1"/>
  <c r="F16" i="2" a="1"/>
  <c r="F16" i="2" s="1"/>
  <c r="F15" i="2" a="1"/>
  <c r="F15" i="2" s="1"/>
  <c r="F20" i="1" a="1"/>
  <c r="F20" i="1" s="1"/>
  <c r="F19" i="1" a="1"/>
  <c r="F19" i="1" s="1"/>
  <c r="F18" i="1" a="1"/>
  <c r="F18" i="1" s="1"/>
  <c r="F17" i="1" a="1"/>
  <c r="F17" i="1" s="1"/>
  <c r="D6" i="4" l="1"/>
  <c r="C20" i="4" s="1"/>
  <c r="D3" i="4"/>
  <c r="B22" i="4" s="1"/>
  <c r="C23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<sst xmlns="http://schemas.openxmlformats.org/spreadsheetml/2006/main" count="16" uniqueCount="6">
  <si>
    <t>x</t>
  </si>
  <si>
    <t>y</t>
  </si>
  <si>
    <t>x1</t>
  </si>
  <si>
    <t>f1</t>
  </si>
  <si>
    <t>f2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</si>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</sst>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9" xfId="0" applyFill="1" applyBorder="1"/>
    <xf numFmtId="0" fontId="0" fillId="2" borderId="10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E1" sqref="E1:F2"/>
    </sheetView>
  </sheetViews>
  <sheetFormatPr defaultRowHeight="15" x14ac:dyDescent="0.25"/>
  <sheetData>
    <row r="1" spans="1:6" ht="16.5" thickTop="1" thickBot="1" x14ac:dyDescent="0.3">
      <c r="A1" s="1" t="s">
        <v>0</v>
      </c>
      <c r="B1" s="2" t="s">
        <v>1</v>
      </c>
      <c r="E1" s="1" t="s">
        <v>0</v>
      </c>
      <c r="F1" s="2" t="s">
        <v>1</v>
      </c>
    </row>
    <row r="2" spans="1:6" ht="16.5" thickTop="1" thickBot="1" x14ac:dyDescent="0.3">
      <c r="A2" s="3">
        <v>0.43</v>
      </c>
      <c r="B2" s="4">
        <v>1.6359699999999999</v>
      </c>
      <c r="E2" s="9">
        <v>0.70199999999999996</v>
      </c>
      <c r="F2" s="10" cm="1">
        <f t="array" ref="F2">SUMPRODUCT(
  B2:B7,
  _xlfn.BYROW(A2:A7,
    _xlfn.LAMBDA(_xlpm.xi,
      PRODUCT( IF(A2:A7&lt;&gt;_xlpm.xi, (E2-A2:A7)/(_xlpm.xi-A2:A7), 1) )
    )
  )
)</f>
        <v>2.2335675728856939</v>
      </c>
    </row>
    <row r="3" spans="1:6" ht="15.75" thickBot="1" x14ac:dyDescent="0.3">
      <c r="A3" s="5">
        <v>0.48</v>
      </c>
      <c r="B3" s="6">
        <v>1.73234</v>
      </c>
    </row>
    <row r="4" spans="1:6" ht="15.75" thickBot="1" x14ac:dyDescent="0.3">
      <c r="A4" s="5">
        <v>0.55000000000000004</v>
      </c>
      <c r="B4" s="6">
        <v>1.87686</v>
      </c>
    </row>
    <row r="5" spans="1:6" ht="15.75" thickBot="1" x14ac:dyDescent="0.3">
      <c r="A5" s="5">
        <v>0.62</v>
      </c>
      <c r="B5" s="6">
        <v>2.0334500000000002</v>
      </c>
    </row>
    <row r="6" spans="1:6" ht="15.75" thickBot="1" x14ac:dyDescent="0.3">
      <c r="A6" s="5">
        <v>0.7</v>
      </c>
      <c r="B6" s="6">
        <v>2.2284600000000001</v>
      </c>
    </row>
    <row r="7" spans="1:6" ht="15.75" thickBot="1" x14ac:dyDescent="0.3">
      <c r="A7" s="7">
        <v>0.75</v>
      </c>
      <c r="B7" s="8">
        <v>2.3597299999999999</v>
      </c>
    </row>
    <row r="8" spans="1:6" ht="15.75" thickTop="1" x14ac:dyDescent="0.25"/>
    <row r="16" spans="1:6" ht="15.75" thickBot="1" x14ac:dyDescent="0.3"/>
    <row r="17" spans="5:6" ht="15.75" thickBot="1" x14ac:dyDescent="0.3">
      <c r="E17" s="5">
        <v>0.51200000000000001</v>
      </c>
      <c r="F17" s="6" cm="1">
        <f t="array" ref="F17">SUMPRODUCT(
  B2:B7,
  _xlfn.BYROW(A2:A7,
    _xlfn.LAMBDA(_xlpm.xi,
      PRODUCT( IF(A2:A7&lt;&gt;_xlpm.xi, (E17-A2:A7)/(_xlpm.xi-A2:A7), 1) )
    )
  )
)</f>
        <v>1.7969695304244333</v>
      </c>
    </row>
    <row r="18" spans="5:6" ht="15.75" thickBot="1" x14ac:dyDescent="0.3">
      <c r="E18" s="5">
        <v>0.64500000000000002</v>
      </c>
      <c r="F18" s="6" cm="1">
        <f t="array" ref="F18">SUMPRODUCT(
  B2:B7,
  _xlfn.BYROW(A2:A7,
    _xlfn.LAMBDA(_xlpm.xi,
      PRODUCT( IF(A2:A7&lt;&gt;_xlpm.xi, (E18-A2:A7)/(_xlpm.xi-A2:A7), 1) )
    )
  )
)</f>
        <v>2.0924854408434448</v>
      </c>
    </row>
    <row r="19" spans="5:6" ht="15.75" thickBot="1" x14ac:dyDescent="0.3">
      <c r="E19" s="5">
        <v>0.73599999999999999</v>
      </c>
      <c r="F19" s="6" cm="1">
        <f t="array" ref="F19">SUMPRODUCT(
  B2:B7,
  _xlfn.BYROW(A2:A7,
    _xlfn.LAMBDA(_xlpm.xi,
      PRODUCT( IF(A2:A7&lt;&gt;_xlpm.xi, (E19-A2:A7)/(_xlpm.xi-A2:A7), 1) )
    )
  )
)</f>
        <v>2.3222117744257238</v>
      </c>
    </row>
    <row r="20" spans="5:6" ht="15.75" thickBot="1" x14ac:dyDescent="0.3">
      <c r="E20" s="7">
        <v>0.60799999999999998</v>
      </c>
      <c r="F20" s="8" cm="1">
        <f t="array" ref="F20">SUMPRODUCT(
  B2:B7,
  _xlfn.BYROW(A2:A7,
    _xlfn.LAMBDA(_xlpm.xi,
      PRODUCT( IF(A2:A7&lt;&gt;_xlpm.xi, (E20-A2:A7)/(_xlpm.xi-A2:A7), 1) )
    )
  )
)</f>
        <v>2.0057070199986504</v>
      </c>
    </row>
    <row r="21" spans="5:6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313B-60B4-48A6-8916-C0DC69042F78}">
  <dimension ref="A1:F19"/>
  <sheetViews>
    <sheetView workbookViewId="0">
      <selection activeCell="D1" sqref="D1:E2"/>
    </sheetView>
  </sheetViews>
  <sheetFormatPr defaultRowHeight="15" x14ac:dyDescent="0.25"/>
  <sheetData>
    <row r="1" spans="1:6" ht="16.5" thickTop="1" thickBot="1" x14ac:dyDescent="0.3">
      <c r="A1" s="1" t="s">
        <v>0</v>
      </c>
      <c r="B1" s="2" t="s">
        <v>1</v>
      </c>
      <c r="D1" s="1" t="s">
        <v>0</v>
      </c>
      <c r="E1" s="2" t="s">
        <v>1</v>
      </c>
    </row>
    <row r="2" spans="1:6" ht="16.5" thickTop="1" thickBot="1" x14ac:dyDescent="0.3">
      <c r="A2" s="3">
        <v>0.115</v>
      </c>
      <c r="B2" s="4">
        <v>8.6572899999999997</v>
      </c>
      <c r="D2" s="9">
        <v>0.12640000000000001</v>
      </c>
      <c r="E2" s="10" cm="1">
        <f t="array" ref="E2">SUMPRODUCT(
  B2:B7,
  _xlfn.BYROW(A2:A7,
    _xlfn.LAMBDA(_xlpm.xi,
      PRODUCT( IF(A2:A7&lt;&gt;_xlpm.xi, (D2-A2:A7)/(_xlpm.xi-A2:A7), 1) )
    )
  )
)</f>
        <v>7.8692164316194786</v>
      </c>
    </row>
    <row r="3" spans="1:6" ht="15.75" thickBot="1" x14ac:dyDescent="0.3">
      <c r="A3" s="5">
        <v>0.12</v>
      </c>
      <c r="B3" s="6">
        <v>8.2932900000000007</v>
      </c>
    </row>
    <row r="4" spans="1:6" ht="15.75" thickBot="1" x14ac:dyDescent="0.3">
      <c r="A4" s="5">
        <v>0.125</v>
      </c>
      <c r="B4" s="6">
        <v>7.9582899999999999</v>
      </c>
    </row>
    <row r="5" spans="1:6" ht="15.75" thickBot="1" x14ac:dyDescent="0.3">
      <c r="A5" s="5">
        <v>0.13</v>
      </c>
      <c r="B5" s="6">
        <v>7.64893</v>
      </c>
    </row>
    <row r="6" spans="1:6" ht="15.75" thickBot="1" x14ac:dyDescent="0.3">
      <c r="A6" s="5">
        <v>0.13500000000000001</v>
      </c>
      <c r="B6" s="6">
        <v>7.3623500000000002</v>
      </c>
    </row>
    <row r="7" spans="1:6" ht="15.75" thickBot="1" x14ac:dyDescent="0.3">
      <c r="A7" s="7">
        <v>0.14000000000000001</v>
      </c>
      <c r="B7" s="8">
        <v>7.0961299999999996</v>
      </c>
    </row>
    <row r="8" spans="1:6" ht="15.75" thickTop="1" x14ac:dyDescent="0.25"/>
    <row r="14" spans="1:6" ht="15.75" thickBot="1" x14ac:dyDescent="0.3"/>
    <row r="15" spans="1:6" ht="15.75" thickBot="1" x14ac:dyDescent="0.3">
      <c r="E15" s="5">
        <v>0.13150000000000001</v>
      </c>
      <c r="F15" s="6" cm="1">
        <f t="array" ref="F15">SUMPRODUCT(
  B2:B7,
  _xlfn.BYROW(A2:A7,
    _xlfn.LAMBDA(_xlpm.xi,
      PRODUCT( IF(A2:A7&lt;&gt;_xlpm.xi, (E15-A2:A7)/(_xlpm.xi-A2:A7), 1) )
    )
  )
)</f>
        <v>7.5606821847849988</v>
      </c>
    </row>
    <row r="16" spans="1:6" ht="15.75" thickBot="1" x14ac:dyDescent="0.3">
      <c r="E16" s="5">
        <v>0.1232</v>
      </c>
      <c r="F16" s="6" cm="1">
        <f t="array" ref="F16">SUMPRODUCT(
  B2:B7,
  _xlfn.BYROW(A2:A7,
    _xlfn.LAMBDA(_xlpm.xi,
      PRODUCT( IF(A2:A7&lt;&gt;_xlpm.xi, (E16-A2:A7)/(_xlpm.xi-A2:A7), 1) )
    )
  )
)</f>
        <v>8.0757721116633103</v>
      </c>
    </row>
    <row r="17" spans="5:6" ht="15.75" thickBot="1" x14ac:dyDescent="0.3">
      <c r="E17" s="5">
        <v>0.13339999999999999</v>
      </c>
      <c r="F17" s="6" cm="1">
        <f t="array" ref="F17">SUMPRODUCT(
  B2:B7,
  _xlfn.BYROW(A2:A7,
    _xlfn.LAMBDA(_xlpm.xi,
      PRODUCT( IF(A2:A7&lt;&gt;_xlpm.xi, (E17-A2:A7)/(_xlpm.xi-A2:A7), 1) )
    )
  )
)</f>
        <v>7.4517327818889232</v>
      </c>
    </row>
    <row r="18" spans="5:6" ht="15.75" thickBot="1" x14ac:dyDescent="0.3">
      <c r="E18" s="7">
        <v>0.1285</v>
      </c>
      <c r="F18" s="8" cm="1">
        <f t="array" ref="F18">SUMPRODUCT(
  B2:B7,
  _xlfn.BYROW(A2:A7,
    _xlfn.LAMBDA(_xlpm.xi,
      PRODUCT( IF(A2:A7&lt;&gt;_xlpm.xi, (E18-A2:A7)/(_xlpm.xi-A2:A7), 1) )
    )
  )
)</f>
        <v>7.7392250122149981</v>
      </c>
    </row>
    <row r="19" spans="5:6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F474-F79E-45FF-8E36-EE664B91A7FC}">
  <dimension ref="A1:D23"/>
  <sheetViews>
    <sheetView tabSelected="1" topLeftCell="A4" zoomScale="128" workbookViewId="0">
      <selection activeCell="A12" sqref="A12:C14"/>
    </sheetView>
  </sheetViews>
  <sheetFormatPr defaultRowHeight="15" x14ac:dyDescent="0.25"/>
  <cols>
    <col min="1" max="16384" width="9.140625" style="11"/>
  </cols>
  <sheetData>
    <row r="1" spans="1:4" x14ac:dyDescent="0.25">
      <c r="A1" s="12" t="s">
        <v>0</v>
      </c>
      <c r="B1" s="12" t="s">
        <v>1</v>
      </c>
      <c r="C1" s="12" t="s">
        <v>3</v>
      </c>
      <c r="D1" s="12" t="s">
        <v>4</v>
      </c>
    </row>
    <row r="2" spans="1:4" x14ac:dyDescent="0.25">
      <c r="A2" s="13">
        <v>0.59299999999999997</v>
      </c>
      <c r="B2" s="13">
        <v>0.53205000000000002</v>
      </c>
      <c r="C2" s="13">
        <f>(B3-B2)/(A3-A2)</f>
        <v>0.7149999999999983</v>
      </c>
      <c r="D2" s="13">
        <f>(C3-C2)/(A4-A2)</f>
        <v>-0.38095238095223161</v>
      </c>
    </row>
    <row r="3" spans="1:4" x14ac:dyDescent="0.25">
      <c r="A3" s="13">
        <v>0.59799999999999998</v>
      </c>
      <c r="B3" s="13">
        <v>0.53562500000000002</v>
      </c>
      <c r="C3" s="13">
        <f>(B4-B3)/(A4-A3)</f>
        <v>0.71042857142857152</v>
      </c>
      <c r="D3" s="13">
        <f>(C4-C3)/(A5-A3)</f>
        <v>-0.38690476190478607</v>
      </c>
    </row>
    <row r="4" spans="1:4" x14ac:dyDescent="0.25">
      <c r="A4" s="13">
        <v>0.60499999999999998</v>
      </c>
      <c r="B4" s="13">
        <v>0.54059800000000002</v>
      </c>
      <c r="C4" s="13">
        <f t="shared" ref="C4:C5" si="0">(B5-B4)/(A5-A4)</f>
        <v>0.70462499999999972</v>
      </c>
      <c r="D4" s="13">
        <f>(C5-C4)/(A6-A4)</f>
        <v>-0.37797619047648556</v>
      </c>
    </row>
    <row r="5" spans="1:4" x14ac:dyDescent="0.25">
      <c r="A5" s="13">
        <v>0.61299999999999999</v>
      </c>
      <c r="B5" s="13">
        <v>0.54623500000000003</v>
      </c>
      <c r="C5" s="13">
        <f t="shared" si="0"/>
        <v>0.69933333333332892</v>
      </c>
      <c r="D5" s="13">
        <f t="shared" ref="D5" si="1">(C6-C5)/(A7-A5)</f>
        <v>-0.38095238095210077</v>
      </c>
    </row>
    <row r="6" spans="1:4" x14ac:dyDescent="0.25">
      <c r="A6" s="13">
        <v>0.61899999999999999</v>
      </c>
      <c r="B6" s="13">
        <v>0.550431</v>
      </c>
      <c r="C6" s="13">
        <f>(B7-B6)/(A7-A6)</f>
        <v>0.69399999999999951</v>
      </c>
      <c r="D6" s="13">
        <f>(C7-C6)/(A8-A6)</f>
        <v>-0.3846153846149149</v>
      </c>
    </row>
    <row r="7" spans="1:4" x14ac:dyDescent="0.25">
      <c r="A7" s="13">
        <v>0.627</v>
      </c>
      <c r="B7" s="13">
        <v>0.555983</v>
      </c>
      <c r="C7" s="13">
        <f>(B8-B7)/(A8-A7)</f>
        <v>0.68900000000000561</v>
      </c>
      <c r="D7" s="13" t="s">
        <v>5</v>
      </c>
    </row>
    <row r="8" spans="1:4" x14ac:dyDescent="0.25">
      <c r="A8" s="13">
        <v>0.63200000000000001</v>
      </c>
      <c r="B8" s="13">
        <v>0.55942800000000004</v>
      </c>
      <c r="C8" s="13" t="s">
        <v>5</v>
      </c>
      <c r="D8" s="13" t="s">
        <v>5</v>
      </c>
    </row>
    <row r="12" spans="1:4" x14ac:dyDescent="0.25">
      <c r="A12" s="12" t="s">
        <v>2</v>
      </c>
      <c r="B12" s="12">
        <v>1</v>
      </c>
      <c r="C12" s="12">
        <v>2</v>
      </c>
    </row>
    <row r="13" spans="1:4" x14ac:dyDescent="0.25">
      <c r="A13" s="13">
        <v>0.60799999999999998</v>
      </c>
      <c r="B13" s="13">
        <f>B4+C4*(A13-A4)+D4*(A13-A4)*(A13-A5)</f>
        <v>0.54271754464285726</v>
      </c>
      <c r="C13" s="13">
        <f>B5+C5*(A13-A5)+D5*(A13-A5)*(A13-A6)</f>
        <v>0.54271738095238109</v>
      </c>
    </row>
    <row r="14" spans="1:4" x14ac:dyDescent="0.25">
      <c r="A14" s="13">
        <v>0.63</v>
      </c>
      <c r="B14" s="13">
        <f>B6+C6*(A14-A6)+D6*(A21-A6)*(A21-A7)</f>
        <v>0.55805230769230774</v>
      </c>
      <c r="C14" s="13">
        <f>B5+C5*(A14-A5)+D5*(A21-A5)*(A21-A6)</f>
        <v>0.55805242857142867</v>
      </c>
    </row>
    <row r="20" spans="1:3" x14ac:dyDescent="0.25">
      <c r="A20" s="13">
        <v>0.61499999999999999</v>
      </c>
      <c r="B20" s="13">
        <f>B5+C5*(A20-A5)+D5*(A20-A5)*(A20-A6)</f>
        <v>0.54763671428571425</v>
      </c>
      <c r="C20" s="13">
        <f>B6+C6*(A20-A6)+D6*(A20-A6)*(A20-A7)</f>
        <v>0.54763653846153848</v>
      </c>
    </row>
    <row r="21" spans="1:3" x14ac:dyDescent="0.25">
      <c r="A21" s="13">
        <v>0.63</v>
      </c>
      <c r="B21" s="13">
        <f>B6+C6*(A21-A6)+D6*(A21-A6)*(A21-A7)</f>
        <v>0.55805230769230774</v>
      </c>
      <c r="C21" s="13">
        <f>B5+C5*(A21-A5)+D5*(A21-A5)*(A21-A6)</f>
        <v>0.55805242857142867</v>
      </c>
    </row>
    <row r="22" spans="1:3" x14ac:dyDescent="0.25">
      <c r="A22" s="13">
        <v>0.60299999999999998</v>
      </c>
      <c r="B22" s="13">
        <f>B3+C3*(A22-A3)+D3*(A22-A4)*(A22-A5)</f>
        <v>0.53916940476190478</v>
      </c>
      <c r="C22" s="13">
        <f>B2+C2*(A22-A2)+D2*(A22-A3)*(A22-A4)</f>
        <v>0.53920380952380953</v>
      </c>
    </row>
    <row r="23" spans="1:3" x14ac:dyDescent="0.25">
      <c r="A23" s="13">
        <v>0.61</v>
      </c>
      <c r="B23" s="13">
        <f>B4+C4*(A23-A4)+D4*(A23-A4)*(A23-A5)</f>
        <v>0.54412679464285718</v>
      </c>
      <c r="C23" s="13">
        <f>B3+C3*(A23-A3)+D3*(A23-A3)*(A23-A4)</f>
        <v>0.54412692857142864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Часть 1.1</vt:lpstr>
      <vt:lpstr>Часть 1.2</vt:lpstr>
      <vt:lpstr>Часть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</dc:creator>
  <cp:lastModifiedBy>Emin Elizbaryan</cp:lastModifiedBy>
  <dcterms:created xsi:type="dcterms:W3CDTF">2015-06-05T18:17:20Z</dcterms:created>
  <dcterms:modified xsi:type="dcterms:W3CDTF">2026-02-19T13:21:35Z</dcterms:modified>
</cp:coreProperties>
</file>