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Emin\4_semestr\мат стат\доверительный интервал\"/>
    </mc:Choice>
  </mc:AlternateContent>
  <xr:revisionPtr revIDLastSave="0" documentId="13_ncr:1_{0CCF11B8-CA97-444B-9426-FB3615EC3C35}" xr6:coauthVersionLast="47" xr6:coauthVersionMax="47" xr10:uidLastSave="{00000000-0000-0000-0000-000000000000}"/>
  <bookViews>
    <workbookView xWindow="11715" yWindow="2715" windowWidth="14595" windowHeight="8895" firstSheet="2" activeTab="5" xr2:uid="{00000000-000D-0000-FFFF-FFFF00000000}"/>
  </bookViews>
  <sheets>
    <sheet name="Задача1" sheetId="1" r:id="rId1"/>
    <sheet name="Задача2" sheetId="2" r:id="rId2"/>
    <sheet name="Задача3" sheetId="3" r:id="rId3"/>
    <sheet name="Задача4" sheetId="4" r:id="rId4"/>
    <sheet name="Задача5" sheetId="5" r:id="rId5"/>
    <sheet name="Задача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4" l="1"/>
  <c r="O4" i="4"/>
  <c r="K4" i="4"/>
  <c r="J4" i="4"/>
  <c r="I2" i="2"/>
  <c r="J2" i="1"/>
  <c r="L2" i="2" l="1"/>
  <c r="K2" i="2"/>
</calcChain>
</file>

<file path=xl/sharedStrings.xml><?xml version="1.0" encoding="utf-8"?>
<sst xmlns="http://schemas.openxmlformats.org/spreadsheetml/2006/main" count="59" uniqueCount="38">
  <si>
    <t>x ср</t>
  </si>
  <si>
    <t>25 17"45"</t>
  </si>
  <si>
    <t>Диссперсия</t>
  </si>
  <si>
    <t>Ср квадр</t>
  </si>
  <si>
    <t>Ср квадр. Ариф. Середины</t>
  </si>
  <si>
    <t>довер</t>
  </si>
  <si>
    <t>степени свободы</t>
  </si>
  <si>
    <t>n</t>
  </si>
  <si>
    <t>t</t>
  </si>
  <si>
    <t>пред погрешность</t>
  </si>
  <si>
    <t>Интервал</t>
  </si>
  <si>
    <t>25 17"11"</t>
  </si>
  <si>
    <t>25 18"19"</t>
  </si>
  <si>
    <t>N</t>
  </si>
  <si>
    <t>ф(t)</t>
  </si>
  <si>
    <t>срд</t>
  </si>
  <si>
    <t>S^2</t>
  </si>
  <si>
    <t>Пред ошибка</t>
  </si>
  <si>
    <t>Дов интервал</t>
  </si>
  <si>
    <t>Надежность</t>
  </si>
  <si>
    <r>
      <t>0.1</t>
    </r>
    <r>
      <rPr>
        <sz val="11"/>
        <color theme="1"/>
        <rFont val="Aptos Narrow"/>
        <family val="2"/>
      </rPr>
      <t>σ</t>
    </r>
  </si>
  <si>
    <t>n(повтр)</t>
  </si>
  <si>
    <t>n(беспов)</t>
  </si>
  <si>
    <t>надёж</t>
  </si>
  <si>
    <t>m</t>
  </si>
  <si>
    <t>Нижная граница</t>
  </si>
  <si>
    <t>Вверхная граница</t>
  </si>
  <si>
    <t>w</t>
  </si>
  <si>
    <t>Для повторной выборки</t>
  </si>
  <si>
    <t>Для бесповторной выборки</t>
  </si>
  <si>
    <t>Надёжность</t>
  </si>
  <si>
    <t>Для потворной выборки</t>
  </si>
  <si>
    <t>Для беспотвторной</t>
  </si>
  <si>
    <t>x</t>
  </si>
  <si>
    <t>сред</t>
  </si>
  <si>
    <t>сред квадр отклон</t>
  </si>
  <si>
    <t>На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</si>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</sst>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zoomScale="104" workbookViewId="0">
      <selection activeCell="A6" sqref="A6:B7"/>
    </sheetView>
  </sheetViews>
  <sheetFormatPr defaultRowHeight="15" x14ac:dyDescent="0.25"/>
  <cols>
    <col min="2" max="2" width="11.7109375" bestFit="1" customWidth="1"/>
    <col min="4" max="4" width="25.85546875" bestFit="1" customWidth="1"/>
    <col min="8" max="8" width="16.85546875" bestFit="1" customWidth="1"/>
    <col min="10" max="10" width="18.140625" bestFit="1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4</v>
      </c>
      <c r="E1" s="1"/>
      <c r="F1" s="1" t="s">
        <v>7</v>
      </c>
      <c r="G1" s="1" t="s">
        <v>5</v>
      </c>
      <c r="H1" s="1" t="s">
        <v>6</v>
      </c>
      <c r="I1" s="1" t="s">
        <v>8</v>
      </c>
      <c r="J1" s="1" t="s">
        <v>9</v>
      </c>
    </row>
    <row r="2" spans="1:10" x14ac:dyDescent="0.25">
      <c r="A2" s="2" t="s">
        <v>1</v>
      </c>
      <c r="B2" s="2">
        <v>450</v>
      </c>
      <c r="C2" s="2">
        <v>21.2</v>
      </c>
      <c r="D2" s="2">
        <v>10.6</v>
      </c>
      <c r="E2" s="2"/>
      <c r="F2" s="2">
        <v>4</v>
      </c>
      <c r="G2" s="2">
        <v>0.95</v>
      </c>
      <c r="H2" s="2">
        <v>3</v>
      </c>
      <c r="I2" s="2">
        <v>3.18</v>
      </c>
      <c r="J2" s="2">
        <f>ROUND(I2*D2,0)</f>
        <v>34</v>
      </c>
    </row>
    <row r="6" spans="1:10" x14ac:dyDescent="0.25">
      <c r="A6" s="3" t="s">
        <v>10</v>
      </c>
      <c r="B6" s="3"/>
    </row>
    <row r="7" spans="1:10" x14ac:dyDescent="0.25">
      <c r="A7" s="2" t="s">
        <v>11</v>
      </c>
      <c r="B7" s="2" t="s">
        <v>12</v>
      </c>
    </row>
  </sheetData>
  <mergeCells count="1"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F447-076C-478D-85C9-FE56A8FD9FB5}">
  <dimension ref="A1:L2"/>
  <sheetViews>
    <sheetView workbookViewId="0">
      <selection activeCell="K1" sqref="K1:L2"/>
    </sheetView>
  </sheetViews>
  <sheetFormatPr defaultRowHeight="15" x14ac:dyDescent="0.25"/>
  <cols>
    <col min="9" max="9" width="13.28515625" bestFit="1" customWidth="1"/>
  </cols>
  <sheetData>
    <row r="1" spans="1:12" x14ac:dyDescent="0.25">
      <c r="A1" s="1" t="s">
        <v>7</v>
      </c>
      <c r="B1" s="1" t="s">
        <v>13</v>
      </c>
      <c r="C1" s="1" t="s">
        <v>14</v>
      </c>
      <c r="D1" s="1" t="s">
        <v>8</v>
      </c>
      <c r="F1" s="1" t="s">
        <v>15</v>
      </c>
      <c r="G1" s="1" t="s">
        <v>16</v>
      </c>
      <c r="I1" s="1" t="s">
        <v>17</v>
      </c>
      <c r="K1" s="3" t="s">
        <v>18</v>
      </c>
      <c r="L1" s="3"/>
    </row>
    <row r="2" spans="1:12" x14ac:dyDescent="0.25">
      <c r="A2" s="2">
        <v>10</v>
      </c>
      <c r="B2" s="2">
        <v>70</v>
      </c>
      <c r="C2" s="2">
        <v>0.95</v>
      </c>
      <c r="D2" s="2">
        <v>2.2599999999999998</v>
      </c>
      <c r="F2" s="2">
        <v>98.2</v>
      </c>
      <c r="G2" s="2">
        <v>32.145000000000003</v>
      </c>
      <c r="I2" s="2">
        <f>ROUND(D2*G2/SQRT(10) * SQRT(1-(10/70)),2)</f>
        <v>21.27</v>
      </c>
      <c r="K2" s="2">
        <f>F2-I2</f>
        <v>76.930000000000007</v>
      </c>
      <c r="L2" s="2">
        <f>I2+F2</f>
        <v>119.47</v>
      </c>
    </row>
  </sheetData>
  <mergeCells count="1"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EAFB-22F9-4F2D-A81E-0B8E43C42D6D}">
  <dimension ref="A1:H11"/>
  <sheetViews>
    <sheetView workbookViewId="0">
      <selection activeCell="G1" sqref="G1:G2"/>
    </sheetView>
  </sheetViews>
  <sheetFormatPr defaultRowHeight="15" x14ac:dyDescent="0.25"/>
  <cols>
    <col min="2" max="2" width="12" bestFit="1" customWidth="1"/>
    <col min="3" max="3" width="13.28515625" bestFit="1" customWidth="1"/>
  </cols>
  <sheetData>
    <row r="1" spans="1:8" x14ac:dyDescent="0.25">
      <c r="A1" s="1" t="s">
        <v>37</v>
      </c>
      <c r="B1" s="1" t="s">
        <v>19</v>
      </c>
      <c r="C1" s="1" t="s">
        <v>17</v>
      </c>
      <c r="E1" s="1" t="s">
        <v>8</v>
      </c>
      <c r="F1" s="1" t="s">
        <v>21</v>
      </c>
      <c r="G1" s="1" t="s">
        <v>22</v>
      </c>
    </row>
    <row r="2" spans="1:8" x14ac:dyDescent="0.25">
      <c r="A2" s="2">
        <v>1000</v>
      </c>
      <c r="B2" s="2">
        <v>0.95</v>
      </c>
      <c r="C2" s="2" t="s">
        <v>20</v>
      </c>
      <c r="E2" s="2">
        <v>1.96</v>
      </c>
      <c r="F2" s="2">
        <v>384</v>
      </c>
      <c r="G2" s="2">
        <v>277</v>
      </c>
    </row>
    <row r="11" spans="1:8" x14ac:dyDescent="0.25">
      <c r="H11" t="s">
        <v>36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9AE1-D122-483B-8AFA-0FA80ECA705F}">
  <dimension ref="A1:P4"/>
  <sheetViews>
    <sheetView topLeftCell="G1" workbookViewId="0">
      <selection activeCell="O1" sqref="O1:P4"/>
    </sheetView>
  </sheetViews>
  <sheetFormatPr defaultRowHeight="15" x14ac:dyDescent="0.25"/>
  <cols>
    <col min="8" max="8" width="13.28515625" bestFit="1" customWidth="1"/>
    <col min="10" max="10" width="15.85546875" bestFit="1" customWidth="1"/>
    <col min="11" max="11" width="17.5703125" bestFit="1" customWidth="1"/>
    <col min="13" max="13" width="13.28515625" bestFit="1" customWidth="1"/>
    <col min="15" max="15" width="15.85546875" bestFit="1" customWidth="1"/>
    <col min="16" max="16" width="17.5703125" bestFit="1" customWidth="1"/>
  </cols>
  <sheetData>
    <row r="1" spans="1:16" x14ac:dyDescent="0.25">
      <c r="A1" s="1" t="s">
        <v>13</v>
      </c>
      <c r="B1" s="1" t="s">
        <v>7</v>
      </c>
      <c r="C1" s="1" t="s">
        <v>23</v>
      </c>
      <c r="D1" s="1" t="s">
        <v>24</v>
      </c>
      <c r="E1" s="1" t="s">
        <v>27</v>
      </c>
      <c r="G1" s="1" t="s">
        <v>8</v>
      </c>
      <c r="H1" s="1" t="s">
        <v>17</v>
      </c>
      <c r="J1" s="3" t="s">
        <v>28</v>
      </c>
      <c r="K1" s="3"/>
      <c r="M1" s="1" t="s">
        <v>17</v>
      </c>
      <c r="O1" s="3" t="s">
        <v>29</v>
      </c>
      <c r="P1" s="3"/>
    </row>
    <row r="2" spans="1:16" x14ac:dyDescent="0.25">
      <c r="A2" s="2">
        <v>5000</v>
      </c>
      <c r="B2" s="2">
        <v>400</v>
      </c>
      <c r="C2" s="2">
        <v>0.95</v>
      </c>
      <c r="D2" s="2">
        <v>300</v>
      </c>
      <c r="E2" s="2">
        <v>0.75</v>
      </c>
      <c r="G2" s="2">
        <v>1.96</v>
      </c>
      <c r="H2" s="2">
        <v>4.24E-2</v>
      </c>
      <c r="J2" s="3" t="s">
        <v>10</v>
      </c>
      <c r="K2" s="3"/>
      <c r="M2" s="2">
        <v>4.07E-2</v>
      </c>
      <c r="O2" s="3" t="s">
        <v>10</v>
      </c>
      <c r="P2" s="3"/>
    </row>
    <row r="3" spans="1:16" x14ac:dyDescent="0.25">
      <c r="J3" s="1" t="s">
        <v>25</v>
      </c>
      <c r="K3" s="1" t="s">
        <v>26</v>
      </c>
      <c r="O3" s="1" t="s">
        <v>25</v>
      </c>
      <c r="P3" s="1" t="s">
        <v>26</v>
      </c>
    </row>
    <row r="4" spans="1:16" x14ac:dyDescent="0.25">
      <c r="J4" s="2">
        <f>E2-H2</f>
        <v>0.70760000000000001</v>
      </c>
      <c r="K4" s="2">
        <f>E2+H2</f>
        <v>0.79239999999999999</v>
      </c>
      <c r="O4" s="2">
        <f>E2-M2</f>
        <v>0.70930000000000004</v>
      </c>
      <c r="P4" s="2">
        <f>E2+M2</f>
        <v>0.79069999999999996</v>
      </c>
    </row>
  </sheetData>
  <mergeCells count="4">
    <mergeCell ref="J2:K2"/>
    <mergeCell ref="J1:K1"/>
    <mergeCell ref="O1:P1"/>
    <mergeCell ref="O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9B347-79F7-410B-A900-0F4DFA9B6034}">
  <dimension ref="A1:G3"/>
  <sheetViews>
    <sheetView workbookViewId="0">
      <selection activeCell="G1" sqref="G1:G3"/>
    </sheetView>
  </sheetViews>
  <sheetFormatPr defaultRowHeight="15" x14ac:dyDescent="0.25"/>
  <cols>
    <col min="2" max="2" width="13.28515625" bestFit="1" customWidth="1"/>
    <col min="3" max="3" width="12" bestFit="1" customWidth="1"/>
    <col min="5" max="5" width="23.7109375" bestFit="1" customWidth="1"/>
    <col min="7" max="7" width="19.140625" bestFit="1" customWidth="1"/>
  </cols>
  <sheetData>
    <row r="1" spans="1:7" x14ac:dyDescent="0.25">
      <c r="A1" s="1" t="s">
        <v>13</v>
      </c>
      <c r="B1" s="1" t="s">
        <v>17</v>
      </c>
      <c r="C1" s="1" t="s">
        <v>30</v>
      </c>
      <c r="E1" s="1" t="s">
        <v>31</v>
      </c>
      <c r="G1" s="1" t="s">
        <v>32</v>
      </c>
    </row>
    <row r="2" spans="1:7" x14ac:dyDescent="0.25">
      <c r="A2" s="2">
        <v>10000</v>
      </c>
      <c r="B2" s="2">
        <v>0.05</v>
      </c>
      <c r="C2" s="2">
        <v>0.99950000000000006</v>
      </c>
      <c r="E2" s="1" t="s">
        <v>7</v>
      </c>
      <c r="G2" s="1" t="s">
        <v>7</v>
      </c>
    </row>
    <row r="3" spans="1:7" x14ac:dyDescent="0.25">
      <c r="E3" s="2">
        <v>1225</v>
      </c>
      <c r="G3" s="2">
        <v>1091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53FE-7888-4C6B-84E6-6D2649096B28}">
  <dimension ref="A1:N2"/>
  <sheetViews>
    <sheetView tabSelected="1" topLeftCell="B1" zoomScale="74" workbookViewId="0">
      <selection activeCell="J6" sqref="J6"/>
    </sheetView>
  </sheetViews>
  <sheetFormatPr defaultRowHeight="15" x14ac:dyDescent="0.25"/>
  <cols>
    <col min="9" max="9" width="18.140625" bestFit="1" customWidth="1"/>
  </cols>
  <sheetData>
    <row r="1" spans="1:14" x14ac:dyDescent="0.25">
      <c r="A1" s="1" t="s">
        <v>33</v>
      </c>
      <c r="B1" s="2">
        <v>0.1</v>
      </c>
      <c r="C1" s="2">
        <v>0.2</v>
      </c>
      <c r="D1" s="2">
        <v>0.3</v>
      </c>
      <c r="E1" s="2">
        <v>0.4</v>
      </c>
      <c r="F1" s="2">
        <v>0.5</v>
      </c>
      <c r="H1" s="1" t="s">
        <v>34</v>
      </c>
      <c r="I1" s="1" t="s">
        <v>35</v>
      </c>
      <c r="J1" s="1" t="s">
        <v>7</v>
      </c>
      <c r="K1" s="1" t="s">
        <v>23</v>
      </c>
      <c r="M1" s="3" t="s">
        <v>10</v>
      </c>
      <c r="N1" s="3"/>
    </row>
    <row r="2" spans="1:14" x14ac:dyDescent="0.25">
      <c r="A2" s="1" t="s">
        <v>24</v>
      </c>
      <c r="B2" s="2">
        <v>2</v>
      </c>
      <c r="C2" s="2">
        <v>4</v>
      </c>
      <c r="D2" s="2">
        <v>7</v>
      </c>
      <c r="E2" s="2">
        <v>6</v>
      </c>
      <c r="F2" s="2">
        <v>1</v>
      </c>
      <c r="H2" s="2">
        <v>0.3</v>
      </c>
      <c r="I2" s="2">
        <v>1.158E-2</v>
      </c>
      <c r="J2" s="2">
        <v>20</v>
      </c>
      <c r="K2" s="2">
        <v>0.99</v>
      </c>
      <c r="M2" s="2">
        <v>7.6999999999999999E-2</v>
      </c>
      <c r="N2" s="2">
        <v>0.58299999999999996</v>
      </c>
    </row>
  </sheetData>
  <mergeCells count="1"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Задача1</vt:lpstr>
      <vt:lpstr>Задача2</vt:lpstr>
      <vt:lpstr>Задача3</vt:lpstr>
      <vt:lpstr>Задача4</vt:lpstr>
      <vt:lpstr>Задача5</vt:lpstr>
      <vt:lpstr>Задача6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Emin Elizbaryan</cp:lastModifiedBy>
  <dcterms:created xsi:type="dcterms:W3CDTF">2015-06-05T18:17:20Z</dcterms:created>
  <dcterms:modified xsi:type="dcterms:W3CDTF">2026-04-02T09:34:17Z</dcterms:modified>
</cp:coreProperties>
</file>