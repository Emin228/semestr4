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1"/>
  <workbookPr/>
  <mc:AlternateContent xmlns:mc="http://schemas.openxmlformats.org/markup-compatibility/2006">
    <mc:Choice Requires="x15">
      <x15ac:absPath xmlns:x15ac="http://schemas.microsoft.com/office/spreadsheetml/2010/11/ac" url="C:\Users\Emin\4_semestr\мат стат\доверительный интервал\"/>
    </mc:Choice>
  </mc:AlternateContent>
  <xr:revisionPtr revIDLastSave="0" documentId="13_ncr:1_{70199699-F2A0-444D-B8E5-03B2D4B811C2}" xr6:coauthVersionLast="47" xr6:coauthVersionMax="47" xr10:uidLastSave="{00000000-0000-0000-0000-000000000000}"/>
  <bookViews>
    <workbookView xWindow="6045" yWindow="4575" windowWidth="21600" windowHeight="8895" activeTab="4" xr2:uid="{00000000-000D-0000-FFFF-FFFF00000000}"/>
  </bookViews>
  <sheets>
    <sheet name="Задача1" sheetId="1" r:id="rId1"/>
    <sheet name="Задача2" sheetId="2" r:id="rId2"/>
    <sheet name="Задача3" sheetId="3" r:id="rId3"/>
    <sheet name="Задача4" sheetId="4" r:id="rId4"/>
    <sheet name="Задача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L2" i="5"/>
  <c r="K2" i="5"/>
  <c r="I2" i="5"/>
  <c r="H2" i="4"/>
  <c r="B2" i="4"/>
  <c r="H2" i="3"/>
  <c r="D2" i="3"/>
  <c r="H2" i="1"/>
  <c r="E2" i="1"/>
</calcChain>
</file>

<file path=xl/sharedStrings.xml><?xml version="1.0" encoding="utf-8"?>
<sst xmlns="http://schemas.openxmlformats.org/spreadsheetml/2006/main" count="35" uniqueCount="19">
  <si>
    <t>n</t>
  </si>
  <si>
    <t>x ср</t>
  </si>
  <si>
    <t>S^2</t>
  </si>
  <si>
    <t>t</t>
  </si>
  <si>
    <t>ф(t)</t>
  </si>
  <si>
    <t>Предельная ошибка</t>
  </si>
  <si>
    <t>S ^ 2</t>
  </si>
  <si>
    <t>w</t>
  </si>
  <si>
    <t>Пред. Ошибка</t>
  </si>
  <si>
    <t>Пред ошибка</t>
  </si>
  <si>
    <t>ср</t>
  </si>
  <si>
    <t>Доверительный интервал</t>
  </si>
  <si>
    <t>1450-13 &lt; a &lt; 1450 + 13</t>
  </si>
  <si>
    <t>N</t>
  </si>
  <si>
    <t>срд</t>
  </si>
  <si>
    <t>Дов интервал</t>
  </si>
  <si>
    <t>ф(t)*2</t>
  </si>
  <si>
    <t>t/2</t>
  </si>
  <si>
    <t>ф(t) 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</si>
</sst>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3" xfId="0" applyFill="1" applyBorder="1"/>
    <xf numFmtId="0" fontId="0" fillId="2" borderId="1" xfId="0" applyFill="1" applyBorder="1"/>
    <xf numFmtId="0" fontId="0" fillId="2" borderId="2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0" xfId="0" applyFill="1"/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workbookViewId="0">
      <selection activeCell="J3" sqref="J3"/>
    </sheetView>
  </sheetViews>
  <sheetFormatPr defaultRowHeight="15" x14ac:dyDescent="0.25"/>
  <cols>
    <col min="8" max="8" width="19.85546875" bestFit="1" customWidth="1"/>
  </cols>
  <sheetData>
    <row r="1" spans="1:8" ht="16.5" thickTop="1" thickBot="1" x14ac:dyDescent="0.3">
      <c r="A1" s="2" t="s">
        <v>0</v>
      </c>
      <c r="B1" s="3" t="s">
        <v>1</v>
      </c>
      <c r="C1" s="3" t="s">
        <v>2</v>
      </c>
      <c r="D1" s="3" t="s">
        <v>4</v>
      </c>
      <c r="E1" s="3" t="s">
        <v>18</v>
      </c>
      <c r="F1" s="1" t="s">
        <v>3</v>
      </c>
      <c r="H1" s="8" t="s">
        <v>5</v>
      </c>
    </row>
    <row r="2" spans="1:8" ht="15.75" thickBot="1" x14ac:dyDescent="0.3">
      <c r="A2" s="4">
        <v>625</v>
      </c>
      <c r="B2" s="5">
        <v>16.8</v>
      </c>
      <c r="C2" s="5">
        <v>4</v>
      </c>
      <c r="D2" s="5">
        <v>0.98799999999999999</v>
      </c>
      <c r="E2" s="5">
        <f>D2/2</f>
        <v>0.49399999999999999</v>
      </c>
      <c r="F2" s="6">
        <v>2.5</v>
      </c>
      <c r="H2" s="7">
        <f xml:space="preserve"> F2 * ((C2 ^ 0.5) / SQRT(A2))</f>
        <v>0.2</v>
      </c>
    </row>
    <row r="3" spans="1:8" ht="15.75" thickTop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1F77F-3704-4CDD-8774-FDB5DB12C735}">
  <dimension ref="A1:F3"/>
  <sheetViews>
    <sheetView topLeftCell="A9" workbookViewId="0">
      <selection activeCell="F1" sqref="F1:F2"/>
    </sheetView>
  </sheetViews>
  <sheetFormatPr defaultRowHeight="15" x14ac:dyDescent="0.25"/>
  <cols>
    <col min="6" max="6" width="19.85546875" bestFit="1" customWidth="1"/>
  </cols>
  <sheetData>
    <row r="1" spans="1:6" ht="16.5" thickTop="1" thickBot="1" x14ac:dyDescent="0.3">
      <c r="A1" s="2" t="s">
        <v>0</v>
      </c>
      <c r="B1" s="3" t="s">
        <v>6</v>
      </c>
      <c r="C1" s="3" t="s">
        <v>4</v>
      </c>
      <c r="D1" s="1" t="s">
        <v>3</v>
      </c>
      <c r="F1" s="8" t="s">
        <v>5</v>
      </c>
    </row>
    <row r="2" spans="1:6" ht="15.75" thickBot="1" x14ac:dyDescent="0.3">
      <c r="A2" s="4">
        <v>12</v>
      </c>
      <c r="B2" s="5">
        <v>11</v>
      </c>
      <c r="C2" s="5">
        <v>0.6</v>
      </c>
      <c r="D2" s="6">
        <v>0.9</v>
      </c>
      <c r="F2" s="7">
        <f>(D2* B2) /SQRT(A2-1)</f>
        <v>2.98496231131986</v>
      </c>
    </row>
    <row r="3" spans="1:6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915CF-E891-4418-A834-D3CB669B7569}">
  <dimension ref="A1:H3"/>
  <sheetViews>
    <sheetView workbookViewId="0">
      <selection activeCell="H1" sqref="H1:H2"/>
    </sheetView>
  </sheetViews>
  <sheetFormatPr defaultRowHeight="15" x14ac:dyDescent="0.25"/>
  <cols>
    <col min="3" max="3" width="14.140625" bestFit="1" customWidth="1"/>
  </cols>
  <sheetData>
    <row r="1" spans="1:8" ht="16.5" thickTop="1" thickBot="1" x14ac:dyDescent="0.3">
      <c r="A1" s="2" t="s">
        <v>0</v>
      </c>
      <c r="B1" s="3" t="s">
        <v>7</v>
      </c>
      <c r="C1" s="3" t="s">
        <v>8</v>
      </c>
      <c r="D1" s="1" t="s">
        <v>3</v>
      </c>
      <c r="G1" s="8" t="s">
        <v>4</v>
      </c>
      <c r="H1" s="8" t="s">
        <v>16</v>
      </c>
    </row>
    <row r="2" spans="1:8" ht="15.75" thickBot="1" x14ac:dyDescent="0.3">
      <c r="A2" s="4">
        <v>1000</v>
      </c>
      <c r="B2" s="5">
        <v>0.15</v>
      </c>
      <c r="C2" s="5">
        <v>0.02</v>
      </c>
      <c r="D2" s="6">
        <f>C2*(SQRT(A2/(B2*(1-B2))))</f>
        <v>1.7712297710801905</v>
      </c>
      <c r="G2" s="7">
        <v>0.46160000000000001</v>
      </c>
      <c r="H2" s="7">
        <f>G2*2</f>
        <v>0.92320000000000002</v>
      </c>
    </row>
    <row r="3" spans="1:8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61A8C-8E2B-49DD-87A5-A385484C5C13}">
  <dimension ref="A1:J2"/>
  <sheetViews>
    <sheetView workbookViewId="0">
      <selection activeCell="J1" sqref="J1:J2"/>
    </sheetView>
  </sheetViews>
  <sheetFormatPr defaultRowHeight="15" x14ac:dyDescent="0.25"/>
  <cols>
    <col min="8" max="8" width="13.28515625" bestFit="1" customWidth="1"/>
    <col min="10" max="10" width="25.28515625" bestFit="1" customWidth="1"/>
  </cols>
  <sheetData>
    <row r="1" spans="1:10" x14ac:dyDescent="0.25">
      <c r="A1" s="8" t="s">
        <v>3</v>
      </c>
      <c r="B1" s="8" t="s">
        <v>17</v>
      </c>
      <c r="C1" s="8" t="s">
        <v>4</v>
      </c>
      <c r="D1" s="8" t="s">
        <v>2</v>
      </c>
      <c r="E1" s="8" t="s">
        <v>10</v>
      </c>
      <c r="F1" s="8" t="s">
        <v>0</v>
      </c>
      <c r="H1" s="8" t="s">
        <v>9</v>
      </c>
      <c r="J1" s="8" t="s">
        <v>11</v>
      </c>
    </row>
    <row r="2" spans="1:10" x14ac:dyDescent="0.25">
      <c r="A2" s="7">
        <v>0.99960000000000004</v>
      </c>
      <c r="B2" s="7">
        <f>A2/2</f>
        <v>0.49980000000000002</v>
      </c>
      <c r="C2" s="7">
        <v>3.57</v>
      </c>
      <c r="D2" s="7">
        <v>4000</v>
      </c>
      <c r="E2" s="7">
        <v>1450</v>
      </c>
      <c r="F2" s="7">
        <v>300</v>
      </c>
      <c r="H2" s="7">
        <f>ROUND(C2 * SQRT(D2/F2 * (1-F2/5000)),0)</f>
        <v>13</v>
      </c>
      <c r="J2" s="7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8F408-B59A-4DD0-9AE7-BB83849AD4C7}">
  <dimension ref="A1:L2"/>
  <sheetViews>
    <sheetView tabSelected="1" zoomScale="137" workbookViewId="0">
      <selection activeCell="K1" sqref="K1:L2"/>
    </sheetView>
  </sheetViews>
  <sheetFormatPr defaultRowHeight="15" x14ac:dyDescent="0.25"/>
  <cols>
    <col min="9" max="9" width="13.28515625" bestFit="1" customWidth="1"/>
  </cols>
  <sheetData>
    <row r="1" spans="1:12" x14ac:dyDescent="0.25">
      <c r="A1" s="8" t="s">
        <v>0</v>
      </c>
      <c r="B1" s="8" t="s">
        <v>13</v>
      </c>
      <c r="C1" s="8" t="s">
        <v>4</v>
      </c>
      <c r="D1" s="8" t="s">
        <v>3</v>
      </c>
      <c r="F1" s="8" t="s">
        <v>14</v>
      </c>
      <c r="G1" s="8" t="s">
        <v>2</v>
      </c>
      <c r="I1" s="8" t="s">
        <v>9</v>
      </c>
      <c r="K1" s="9" t="s">
        <v>15</v>
      </c>
      <c r="L1" s="9"/>
    </row>
    <row r="2" spans="1:12" x14ac:dyDescent="0.25">
      <c r="A2" s="7">
        <v>10</v>
      </c>
      <c r="B2" s="7">
        <v>70</v>
      </c>
      <c r="C2" s="7">
        <v>0.95</v>
      </c>
      <c r="D2" s="7">
        <v>2.2599999999999998</v>
      </c>
      <c r="F2" s="7">
        <v>98.2</v>
      </c>
      <c r="G2" s="7">
        <v>32.145000000000003</v>
      </c>
      <c r="I2" s="7">
        <f>ROUND(D2*G2/SQRT(10) * SQRT(1-(10/70)),2)</f>
        <v>21.27</v>
      </c>
      <c r="K2" s="7">
        <f>F2-I2</f>
        <v>76.930000000000007</v>
      </c>
      <c r="L2" s="7">
        <f>I2+F2</f>
        <v>119.47</v>
      </c>
    </row>
  </sheetData>
  <mergeCells count="1"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Задача1</vt:lpstr>
      <vt:lpstr>Задача2</vt:lpstr>
      <vt:lpstr>Задача3</vt:lpstr>
      <vt:lpstr>Задача4</vt:lpstr>
      <vt:lpstr>Задача5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Emin</dc:creator>
  <cp:lastModifiedBy>Emin Elizbaryan</cp:lastModifiedBy>
  <dcterms:created xsi:type="dcterms:W3CDTF">2015-06-05T18:17:20Z</dcterms:created>
  <dcterms:modified xsi:type="dcterms:W3CDTF">2026-03-16T16:38:48Z</dcterms:modified>
</cp:coreProperties>
</file>