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31"/>
  <workbookPr/>
  <mc:AlternateContent xmlns:mc="http://schemas.openxmlformats.org/markup-compatibility/2006">
    <mc:Choice Requires="x15">
      <x15ac:absPath xmlns:x15ac="http://schemas.microsoft.com/office/spreadsheetml/2010/11/ac" url="C:\Users\Emin\4_semestr\мат стат\Проверка стат гипотез\"/>
    </mc:Choice>
  </mc:AlternateContent>
  <xr:revisionPtr revIDLastSave="0" documentId="13_ncr:1_{4E9AB7C1-96D9-4AC6-8399-06726EF0FB73}" xr6:coauthVersionLast="47" xr6:coauthVersionMax="47" xr10:uidLastSave="{00000000-0000-0000-0000-000000000000}"/>
  <bookViews>
    <workbookView xWindow="2910" yWindow="1845" windowWidth="14595" windowHeight="8895" activeTab="1" xr2:uid="{00000000-000D-0000-FFFF-FFFF00000000}"/>
  </bookViews>
  <sheets>
    <sheet name="Задача1" sheetId="1" r:id="rId1"/>
    <sheet name="Задача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2" l="1"/>
  <c r="H2" i="1"/>
  <c r="H3" i="2"/>
  <c r="H4" i="2"/>
  <c r="H5" i="2"/>
  <c r="H6" i="2"/>
  <c r="H7" i="2"/>
  <c r="H8" i="2"/>
  <c r="H9" i="2"/>
  <c r="H10" i="2"/>
  <c r="H2" i="2"/>
  <c r="G3" i="2"/>
  <c r="G4" i="2"/>
  <c r="G5" i="2"/>
  <c r="G6" i="2"/>
  <c r="G7" i="2"/>
  <c r="G8" i="2"/>
  <c r="G9" i="2"/>
  <c r="G10" i="2"/>
  <c r="G2" i="2"/>
  <c r="F2" i="2"/>
  <c r="F8" i="2"/>
  <c r="F10" i="2"/>
  <c r="F3" i="2"/>
  <c r="F4" i="2"/>
  <c r="F5" i="2"/>
  <c r="F6" i="2"/>
  <c r="F7" i="2"/>
  <c r="F9" i="2"/>
  <c r="E2" i="2"/>
  <c r="E3" i="2"/>
  <c r="E4" i="2"/>
  <c r="E5" i="2"/>
  <c r="E6" i="2"/>
  <c r="E7" i="2"/>
  <c r="E8" i="2"/>
  <c r="E9" i="2"/>
  <c r="E10" i="2"/>
  <c r="D3" i="2"/>
  <c r="D4" i="2" s="1"/>
  <c r="D5" i="2" s="1"/>
  <c r="D6" i="2" s="1"/>
  <c r="D7" i="2" s="1"/>
  <c r="D8" i="2" s="1"/>
  <c r="D9" i="2" s="1"/>
  <c r="D10" i="2" s="1"/>
  <c r="D2" i="2"/>
  <c r="C8" i="2"/>
  <c r="C3" i="2"/>
  <c r="C4" i="2"/>
  <c r="C5" i="2"/>
  <c r="C6" i="2"/>
  <c r="C7" i="2"/>
  <c r="C9" i="2"/>
  <c r="C10" i="2"/>
  <c r="C2" i="2"/>
  <c r="Q2" i="1"/>
  <c r="G2" i="1"/>
</calcChain>
</file>

<file path=xl/sharedStrings.xml><?xml version="1.0" encoding="utf-8"?>
<sst xmlns="http://schemas.openxmlformats.org/spreadsheetml/2006/main" count="50" uniqueCount="47">
  <si>
    <t>n</t>
  </si>
  <si>
    <t>d</t>
  </si>
  <si>
    <t>Среднее</t>
  </si>
  <si>
    <t>Станд отклонение</t>
  </si>
  <si>
    <t>min</t>
  </si>
  <si>
    <t>max</t>
  </si>
  <si>
    <t>Размах</t>
  </si>
  <si>
    <t>Интервалы</t>
  </si>
  <si>
    <t>[43; 45.83)</t>
  </si>
  <si>
    <t>[45.83; 48.67)</t>
  </si>
  <si>
    <t>[48.67;51.5)</t>
  </si>
  <si>
    <t>[51.5;54.33)</t>
  </si>
  <si>
    <t>[54.33;57.17)</t>
  </si>
  <si>
    <t>[57.17;60]</t>
  </si>
  <si>
    <t>Ширина интервала</t>
  </si>
  <si>
    <t>ni</t>
  </si>
  <si>
    <t>pi</t>
  </si>
  <si>
    <t>npi</t>
  </si>
  <si>
    <t>K</t>
  </si>
  <si>
    <t>наблю</t>
  </si>
  <si>
    <t>Крит значение</t>
  </si>
  <si>
    <t>k</t>
  </si>
  <si>
    <t>Вывод</t>
  </si>
  <si>
    <t>4.43&lt;7.815</t>
  </si>
  <si>
    <t>xi</t>
  </si>
  <si>
    <t>fi</t>
  </si>
  <si>
    <t>x ср</t>
  </si>
  <si>
    <t>станд отклонение</t>
  </si>
  <si>
    <t>h</t>
  </si>
  <si>
    <t>xi*fi</t>
  </si>
  <si>
    <t>Накопл частота</t>
  </si>
  <si>
    <t>(xi - xср)*fi</t>
  </si>
  <si>
    <t>(xi - xср)^2*fi</t>
  </si>
  <si>
    <t>(xi - xср)^3*fi</t>
  </si>
  <si>
    <t>fi/n</t>
  </si>
  <si>
    <t>a</t>
  </si>
  <si>
    <t>b</t>
  </si>
  <si>
    <t>z1</t>
  </si>
  <si>
    <t>z2</t>
  </si>
  <si>
    <t>Φ(z2)-Φ(z1)</t>
  </si>
  <si>
    <t>fi*</t>
  </si>
  <si>
    <t>(fi-fi*)²/fi*</t>
  </si>
  <si>
    <t>x набл</t>
  </si>
  <si>
    <t>крит значение</t>
  </si>
  <si>
    <t>Сравнение</t>
  </si>
  <si>
    <t>21.56&gt;12.59</t>
  </si>
  <si>
    <t>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</si>
</sst>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"/>
  <sheetViews>
    <sheetView topLeftCell="G1" zoomScale="84" workbookViewId="0">
      <selection activeCell="U1" sqref="U1:U2"/>
    </sheetView>
  </sheetViews>
  <sheetFormatPr defaultRowHeight="15" x14ac:dyDescent="0.25"/>
  <cols>
    <col min="4" max="4" width="18" bestFit="1" customWidth="1"/>
    <col min="8" max="8" width="18.7109375" bestFit="1" customWidth="1"/>
    <col min="9" max="9" width="12.5703125" bestFit="1" customWidth="1"/>
    <col min="10" max="10" width="12.7109375" bestFit="1" customWidth="1"/>
  </cols>
  <sheetData>
    <row r="1" spans="1:21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</v>
      </c>
      <c r="J1" s="1" t="s">
        <v>7</v>
      </c>
      <c r="K1" s="1"/>
      <c r="L1" s="1" t="s">
        <v>15</v>
      </c>
      <c r="M1" s="1" t="s">
        <v>16</v>
      </c>
      <c r="N1" s="1" t="s">
        <v>17</v>
      </c>
      <c r="O1" s="1"/>
      <c r="P1" s="1" t="s">
        <v>18</v>
      </c>
      <c r="Q1" s="1" t="s">
        <v>19</v>
      </c>
      <c r="R1" s="1" t="s">
        <v>21</v>
      </c>
      <c r="S1" s="1" t="s">
        <v>20</v>
      </c>
      <c r="T1" s="1"/>
      <c r="U1" s="1" t="s">
        <v>22</v>
      </c>
    </row>
    <row r="2" spans="1:21" x14ac:dyDescent="0.25">
      <c r="A2" s="2">
        <v>54.5</v>
      </c>
      <c r="B2" s="2">
        <v>36</v>
      </c>
      <c r="C2" s="2">
        <v>52.94</v>
      </c>
      <c r="D2" s="2">
        <v>3.86</v>
      </c>
      <c r="E2" s="2">
        <v>43</v>
      </c>
      <c r="F2" s="2">
        <v>60</v>
      </c>
      <c r="G2" s="2">
        <f>F2-E2</f>
        <v>17</v>
      </c>
      <c r="H2" s="2">
        <f>17/6</f>
        <v>2.8333333333333335</v>
      </c>
      <c r="J2" s="2" t="s">
        <v>8</v>
      </c>
      <c r="K2" s="2"/>
      <c r="L2" s="2">
        <v>1</v>
      </c>
      <c r="M2" s="2">
        <v>2.8000000000000001E-2</v>
      </c>
      <c r="N2" s="2">
        <v>1.01</v>
      </c>
      <c r="O2" s="2"/>
      <c r="P2" s="2">
        <v>1E-4</v>
      </c>
      <c r="Q2" s="2">
        <f>SUM(P2:P7)</f>
        <v>4.4320999999999993</v>
      </c>
      <c r="R2" s="2">
        <v>3</v>
      </c>
      <c r="S2" s="2">
        <v>7.8150000000000004</v>
      </c>
      <c r="T2" s="2"/>
      <c r="U2" s="2" t="s">
        <v>23</v>
      </c>
    </row>
    <row r="3" spans="1:21" x14ac:dyDescent="0.25">
      <c r="A3" s="2">
        <v>52</v>
      </c>
      <c r="J3" s="2" t="s">
        <v>9</v>
      </c>
      <c r="K3" s="2"/>
      <c r="L3" s="2">
        <v>1</v>
      </c>
      <c r="M3" s="2">
        <v>6.6000000000000003E-2</v>
      </c>
      <c r="N3" s="2">
        <v>2.38</v>
      </c>
      <c r="O3" s="2"/>
      <c r="P3" s="2">
        <v>0.78</v>
      </c>
    </row>
    <row r="4" spans="1:21" x14ac:dyDescent="0.25">
      <c r="A4" s="2">
        <v>54</v>
      </c>
      <c r="J4" s="2" t="s">
        <v>10</v>
      </c>
      <c r="K4" s="2"/>
      <c r="L4" s="2">
        <v>7</v>
      </c>
      <c r="M4" s="2">
        <v>0.19800000000000001</v>
      </c>
      <c r="N4" s="2">
        <v>7.13</v>
      </c>
      <c r="O4" s="2"/>
      <c r="P4" s="2">
        <v>2E-3</v>
      </c>
    </row>
    <row r="5" spans="1:21" x14ac:dyDescent="0.25">
      <c r="A5" s="2">
        <v>43</v>
      </c>
      <c r="J5" s="2" t="s">
        <v>11</v>
      </c>
      <c r="K5" s="2"/>
      <c r="L5" s="2">
        <v>17</v>
      </c>
      <c r="M5" s="2">
        <v>0.33800000000000002</v>
      </c>
      <c r="N5" s="2">
        <v>12.17</v>
      </c>
      <c r="O5" s="2"/>
      <c r="P5" s="2">
        <v>1.93</v>
      </c>
    </row>
    <row r="6" spans="1:21" x14ac:dyDescent="0.25">
      <c r="A6" s="2">
        <v>57.5</v>
      </c>
      <c r="J6" s="2" t="s">
        <v>12</v>
      </c>
      <c r="K6" s="2"/>
      <c r="L6" s="2">
        <v>5</v>
      </c>
      <c r="M6" s="2">
        <v>0.245</v>
      </c>
      <c r="N6" s="2">
        <v>8.82</v>
      </c>
      <c r="O6" s="2"/>
      <c r="P6" s="2">
        <v>1.66</v>
      </c>
    </row>
    <row r="7" spans="1:21" x14ac:dyDescent="0.25">
      <c r="A7" s="2">
        <v>52</v>
      </c>
      <c r="J7" s="2" t="s">
        <v>13</v>
      </c>
      <c r="K7" s="2"/>
      <c r="L7" s="2">
        <v>5</v>
      </c>
      <c r="M7" s="2">
        <v>0.125</v>
      </c>
      <c r="N7" s="2">
        <v>4.49</v>
      </c>
      <c r="O7" s="2"/>
      <c r="P7" s="2">
        <v>0.06</v>
      </c>
    </row>
    <row r="8" spans="1:21" x14ac:dyDescent="0.25">
      <c r="A8" s="2">
        <v>48.5</v>
      </c>
    </row>
    <row r="9" spans="1:21" x14ac:dyDescent="0.25">
      <c r="A9" s="2">
        <v>49</v>
      </c>
    </row>
    <row r="10" spans="1:21" x14ac:dyDescent="0.25">
      <c r="A10" s="2">
        <v>58</v>
      </c>
    </row>
    <row r="11" spans="1:21" x14ac:dyDescent="0.25">
      <c r="A11" s="2">
        <v>52.5</v>
      </c>
    </row>
    <row r="12" spans="1:21" x14ac:dyDescent="0.25">
      <c r="A12" s="2">
        <v>49.5</v>
      </c>
    </row>
    <row r="13" spans="1:21" x14ac:dyDescent="0.25">
      <c r="A13" s="2">
        <v>52</v>
      </c>
    </row>
    <row r="14" spans="1:21" x14ac:dyDescent="0.25">
      <c r="A14" s="2">
        <v>50</v>
      </c>
    </row>
    <row r="15" spans="1:21" x14ac:dyDescent="0.25">
      <c r="A15" s="2">
        <v>50.5</v>
      </c>
    </row>
    <row r="16" spans="1:21" x14ac:dyDescent="0.25">
      <c r="A16" s="2">
        <v>52</v>
      </c>
    </row>
    <row r="17" spans="1:5" x14ac:dyDescent="0.25">
      <c r="A17" s="2">
        <v>51.5</v>
      </c>
    </row>
    <row r="18" spans="1:5" x14ac:dyDescent="0.25">
      <c r="A18" s="2">
        <v>52</v>
      </c>
    </row>
    <row r="19" spans="1:5" x14ac:dyDescent="0.25">
      <c r="A19" s="2">
        <v>53</v>
      </c>
    </row>
    <row r="20" spans="1:5" x14ac:dyDescent="0.25">
      <c r="A20" s="2">
        <v>52</v>
      </c>
    </row>
    <row r="21" spans="1:5" x14ac:dyDescent="0.25">
      <c r="A21" s="2">
        <v>52</v>
      </c>
    </row>
    <row r="22" spans="1:5" x14ac:dyDescent="0.25">
      <c r="A22" s="2">
        <v>52.5</v>
      </c>
    </row>
    <row r="23" spans="1:5" x14ac:dyDescent="0.25">
      <c r="A23" s="2">
        <v>53</v>
      </c>
    </row>
    <row r="24" spans="1:5" x14ac:dyDescent="0.25">
      <c r="A24" s="2">
        <v>53</v>
      </c>
    </row>
    <row r="25" spans="1:5" x14ac:dyDescent="0.25">
      <c r="A25" s="2">
        <v>53.5</v>
      </c>
    </row>
    <row r="26" spans="1:5" x14ac:dyDescent="0.25">
      <c r="A26" s="2">
        <v>54</v>
      </c>
    </row>
    <row r="27" spans="1:5" x14ac:dyDescent="0.25">
      <c r="A27" s="2">
        <v>49</v>
      </c>
    </row>
    <row r="28" spans="1:5" x14ac:dyDescent="0.25">
      <c r="A28" s="2">
        <v>54</v>
      </c>
    </row>
    <row r="29" spans="1:5" x14ac:dyDescent="0.25">
      <c r="A29" s="2">
        <v>54.5</v>
      </c>
    </row>
    <row r="30" spans="1:5" x14ac:dyDescent="0.25">
      <c r="A30" s="2">
        <v>51.5</v>
      </c>
    </row>
    <row r="31" spans="1:5" x14ac:dyDescent="0.25">
      <c r="A31" s="2">
        <v>55.5</v>
      </c>
    </row>
    <row r="32" spans="1:5" x14ac:dyDescent="0.25">
      <c r="A32" s="2">
        <v>57</v>
      </c>
      <c r="E32" t="s">
        <v>46</v>
      </c>
    </row>
    <row r="33" spans="1:1" x14ac:dyDescent="0.25">
      <c r="A33" s="2">
        <v>57.5</v>
      </c>
    </row>
    <row r="34" spans="1:1" x14ac:dyDescent="0.25">
      <c r="A34" s="2">
        <v>50</v>
      </c>
    </row>
    <row r="35" spans="1:1" x14ac:dyDescent="0.25">
      <c r="A35" s="2">
        <v>58</v>
      </c>
    </row>
    <row r="36" spans="1:1" x14ac:dyDescent="0.25">
      <c r="A36" s="2">
        <v>58.5</v>
      </c>
    </row>
    <row r="37" spans="1:1" x14ac:dyDescent="0.25">
      <c r="A37" s="2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9868-7AC7-4683-ABA9-D037391AE666}">
  <dimension ref="A1:U14"/>
  <sheetViews>
    <sheetView tabSelected="1" topLeftCell="J1" zoomScale="98" workbookViewId="0">
      <selection activeCell="P1" sqref="P1"/>
    </sheetView>
  </sheetViews>
  <sheetFormatPr defaultRowHeight="15" x14ac:dyDescent="0.25"/>
  <cols>
    <col min="4" max="4" width="15" bestFit="1" customWidth="1"/>
    <col min="6" max="7" width="12.85546875" bestFit="1" customWidth="1"/>
    <col min="16" max="16" width="14" customWidth="1"/>
    <col min="18" max="18" width="12.42578125" customWidth="1"/>
    <col min="21" max="21" width="11" customWidth="1"/>
  </cols>
  <sheetData>
    <row r="1" spans="1:21" ht="45" x14ac:dyDescent="0.25">
      <c r="A1" s="3" t="s">
        <v>24</v>
      </c>
      <c r="B1" s="3" t="s">
        <v>25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J1" s="3" t="s">
        <v>24</v>
      </c>
      <c r="K1" s="3" t="s">
        <v>25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</row>
    <row r="2" spans="1:21" x14ac:dyDescent="0.25">
      <c r="A2" s="4">
        <v>5</v>
      </c>
      <c r="B2" s="4">
        <v>15</v>
      </c>
      <c r="C2" s="2">
        <f>A2*B2</f>
        <v>75</v>
      </c>
      <c r="D2" s="2">
        <f>B2</f>
        <v>15</v>
      </c>
      <c r="E2" s="2">
        <f>(A2-$B$14)*B2</f>
        <v>-114.45000000000002</v>
      </c>
      <c r="F2" s="2">
        <f>(A2-$B$14)^2*B2</f>
        <v>873.25350000000014</v>
      </c>
      <c r="G2" s="2">
        <f>(A2-$B$14)^3*B2</f>
        <v>-6662.9242050000021</v>
      </c>
      <c r="H2" s="2">
        <f>B2/$A$14</f>
        <v>7.4999999999999997E-2</v>
      </c>
      <c r="J2" s="4">
        <v>5</v>
      </c>
      <c r="K2" s="4">
        <v>15</v>
      </c>
      <c r="L2" s="4">
        <v>4</v>
      </c>
      <c r="M2" s="4">
        <v>6</v>
      </c>
      <c r="N2" s="4">
        <v>-1.84</v>
      </c>
      <c r="O2" s="4">
        <v>-1.41</v>
      </c>
      <c r="P2" s="4">
        <v>4.5999999999999999E-2</v>
      </c>
      <c r="Q2" s="4">
        <v>9.1999999999999993</v>
      </c>
      <c r="R2" s="4">
        <v>3.65</v>
      </c>
      <c r="S2" s="2">
        <f>SUM(R2:R10)</f>
        <v>21.560000000000002</v>
      </c>
      <c r="T2" s="4">
        <v>12.59</v>
      </c>
      <c r="U2" s="2" t="s">
        <v>45</v>
      </c>
    </row>
    <row r="3" spans="1:21" x14ac:dyDescent="0.25">
      <c r="A3" s="4">
        <v>7</v>
      </c>
      <c r="B3" s="4">
        <v>26</v>
      </c>
      <c r="C3" s="2">
        <f t="shared" ref="C3:C10" si="0">A3*B3</f>
        <v>182</v>
      </c>
      <c r="D3" s="2">
        <f>D2+B3</f>
        <v>41</v>
      </c>
      <c r="E3" s="2">
        <f t="shared" ref="E3:E10" si="1">(A3-$B$14)*B3</f>
        <v>-146.38000000000002</v>
      </c>
      <c r="F3" s="2">
        <f t="shared" ref="F3:F9" si="2">(A3-$B$14)^2*B3</f>
        <v>824.11940000000027</v>
      </c>
      <c r="G3" s="2">
        <f t="shared" ref="G3:G10" si="3">(A3-$B$14)^3*B3</f>
        <v>-4639.7922220000019</v>
      </c>
      <c r="H3" s="2">
        <f t="shared" ref="H3:H10" si="4">B3/$A$14</f>
        <v>0.13</v>
      </c>
      <c r="J3" s="4">
        <v>7</v>
      </c>
      <c r="K3" s="4">
        <v>26</v>
      </c>
      <c r="L3" s="4">
        <v>6</v>
      </c>
      <c r="M3" s="4">
        <v>8</v>
      </c>
      <c r="N3" s="4">
        <v>-1.41</v>
      </c>
      <c r="O3" s="4">
        <v>-0.99</v>
      </c>
      <c r="P3" s="4">
        <v>8.2000000000000003E-2</v>
      </c>
      <c r="Q3" s="4">
        <v>16.399999999999999</v>
      </c>
      <c r="R3" s="4">
        <v>5.62</v>
      </c>
    </row>
    <row r="4" spans="1:21" x14ac:dyDescent="0.25">
      <c r="A4" s="4">
        <v>9</v>
      </c>
      <c r="B4" s="4">
        <v>25</v>
      </c>
      <c r="C4" s="2">
        <f t="shared" si="0"/>
        <v>225</v>
      </c>
      <c r="D4" s="2">
        <f t="shared" ref="D4:D10" si="5">D3+B4</f>
        <v>66</v>
      </c>
      <c r="E4" s="2">
        <f t="shared" si="1"/>
        <v>-90.750000000000014</v>
      </c>
      <c r="F4" s="2">
        <f t="shared" si="2"/>
        <v>329.42250000000013</v>
      </c>
      <c r="G4" s="2">
        <f t="shared" si="3"/>
        <v>-1195.8036750000008</v>
      </c>
      <c r="H4" s="2">
        <f t="shared" si="4"/>
        <v>0.125</v>
      </c>
      <c r="J4" s="4">
        <v>9</v>
      </c>
      <c r="K4" s="4">
        <v>25</v>
      </c>
      <c r="L4" s="4">
        <v>8</v>
      </c>
      <c r="M4" s="4">
        <v>10</v>
      </c>
      <c r="N4" s="4">
        <v>-0.99</v>
      </c>
      <c r="O4" s="4">
        <v>-0.56000000000000005</v>
      </c>
      <c r="P4" s="4">
        <v>0.125</v>
      </c>
      <c r="Q4" s="4">
        <v>25</v>
      </c>
      <c r="R4" s="4">
        <v>0</v>
      </c>
    </row>
    <row r="5" spans="1:21" x14ac:dyDescent="0.25">
      <c r="A5" s="4">
        <v>11</v>
      </c>
      <c r="B5" s="4">
        <v>30</v>
      </c>
      <c r="C5" s="2">
        <f t="shared" si="0"/>
        <v>330</v>
      </c>
      <c r="D5" s="2">
        <f t="shared" si="5"/>
        <v>96</v>
      </c>
      <c r="E5" s="2">
        <f t="shared" si="1"/>
        <v>-48.90000000000002</v>
      </c>
      <c r="F5" s="2">
        <f t="shared" si="2"/>
        <v>79.707000000000079</v>
      </c>
      <c r="G5" s="2">
        <f t="shared" si="3"/>
        <v>-129.92241000000018</v>
      </c>
      <c r="H5" s="2">
        <f t="shared" si="4"/>
        <v>0.15</v>
      </c>
      <c r="J5" s="4">
        <v>11</v>
      </c>
      <c r="K5" s="4">
        <v>30</v>
      </c>
      <c r="L5" s="4">
        <v>10</v>
      </c>
      <c r="M5" s="4">
        <v>12</v>
      </c>
      <c r="N5" s="4">
        <v>-0.56000000000000005</v>
      </c>
      <c r="O5" s="4">
        <v>-0.13</v>
      </c>
      <c r="P5" s="4">
        <v>0.16200000000000001</v>
      </c>
      <c r="Q5" s="4">
        <v>32.4</v>
      </c>
      <c r="R5" s="4">
        <v>0.18</v>
      </c>
    </row>
    <row r="6" spans="1:21" x14ac:dyDescent="0.25">
      <c r="A6" s="4">
        <v>13</v>
      </c>
      <c r="B6" s="4">
        <v>26</v>
      </c>
      <c r="C6" s="2">
        <f t="shared" si="0"/>
        <v>338</v>
      </c>
      <c r="D6" s="2">
        <f t="shared" si="5"/>
        <v>122</v>
      </c>
      <c r="E6" s="2">
        <f t="shared" si="1"/>
        <v>9.6199999999999797</v>
      </c>
      <c r="F6" s="2">
        <f t="shared" si="2"/>
        <v>3.5593999999999846</v>
      </c>
      <c r="G6" s="2">
        <f t="shared" si="3"/>
        <v>1.3169779999999915</v>
      </c>
      <c r="H6" s="2">
        <f t="shared" si="4"/>
        <v>0.13</v>
      </c>
      <c r="J6" s="4">
        <v>13</v>
      </c>
      <c r="K6" s="4">
        <v>26</v>
      </c>
      <c r="L6" s="4">
        <v>12</v>
      </c>
      <c r="M6" s="4">
        <v>14</v>
      </c>
      <c r="N6" s="4">
        <v>-0.13</v>
      </c>
      <c r="O6" s="4">
        <v>0.28999999999999998</v>
      </c>
      <c r="P6" s="4">
        <v>0.16700000000000001</v>
      </c>
      <c r="Q6" s="4">
        <v>33.4</v>
      </c>
      <c r="R6" s="4">
        <v>1.64</v>
      </c>
    </row>
    <row r="7" spans="1:21" x14ac:dyDescent="0.25">
      <c r="A7" s="4">
        <v>15</v>
      </c>
      <c r="B7" s="4">
        <v>21</v>
      </c>
      <c r="C7" s="2">
        <f t="shared" si="0"/>
        <v>315</v>
      </c>
      <c r="D7" s="2">
        <f t="shared" si="5"/>
        <v>143</v>
      </c>
      <c r="E7" s="2">
        <f t="shared" si="1"/>
        <v>49.769999999999982</v>
      </c>
      <c r="F7" s="2">
        <f t="shared" si="2"/>
        <v>117.95489999999992</v>
      </c>
      <c r="G7" s="2">
        <f t="shared" si="3"/>
        <v>279.55311299999977</v>
      </c>
      <c r="H7" s="2">
        <f t="shared" si="4"/>
        <v>0.105</v>
      </c>
      <c r="J7" s="4">
        <v>15</v>
      </c>
      <c r="K7" s="4">
        <v>21</v>
      </c>
      <c r="L7" s="4">
        <v>14</v>
      </c>
      <c r="M7" s="4">
        <v>16</v>
      </c>
      <c r="N7" s="4">
        <v>0.28999999999999998</v>
      </c>
      <c r="O7" s="4">
        <v>0.72</v>
      </c>
      <c r="P7" s="4">
        <v>0.14000000000000001</v>
      </c>
      <c r="Q7" s="4">
        <v>28</v>
      </c>
      <c r="R7" s="4">
        <v>1.75</v>
      </c>
    </row>
    <row r="8" spans="1:21" x14ac:dyDescent="0.25">
      <c r="A8" s="4">
        <v>17</v>
      </c>
      <c r="B8" s="4">
        <v>24</v>
      </c>
      <c r="C8" s="2">
        <f>A8*B8</f>
        <v>408</v>
      </c>
      <c r="D8" s="2">
        <f t="shared" si="5"/>
        <v>167</v>
      </c>
      <c r="E8" s="2">
        <f t="shared" si="1"/>
        <v>104.87999999999998</v>
      </c>
      <c r="F8" s="2">
        <f>(A8-$B$14)^2*B8</f>
        <v>458.32559999999989</v>
      </c>
      <c r="G8" s="2">
        <f t="shared" si="3"/>
        <v>2002.8828719999992</v>
      </c>
      <c r="H8" s="2">
        <f t="shared" si="4"/>
        <v>0.12</v>
      </c>
      <c r="J8" s="4">
        <v>17</v>
      </c>
      <c r="K8" s="4">
        <v>24</v>
      </c>
      <c r="L8" s="4">
        <v>16</v>
      </c>
      <c r="M8" s="4">
        <v>18</v>
      </c>
      <c r="N8" s="4">
        <v>0.72</v>
      </c>
      <c r="O8" s="4">
        <v>1.1399999999999999</v>
      </c>
      <c r="P8" s="4">
        <v>0.1</v>
      </c>
      <c r="Q8" s="4">
        <v>20</v>
      </c>
      <c r="R8" s="4">
        <v>0.8</v>
      </c>
    </row>
    <row r="9" spans="1:21" x14ac:dyDescent="0.25">
      <c r="A9" s="4">
        <v>19</v>
      </c>
      <c r="B9" s="4">
        <v>20</v>
      </c>
      <c r="C9" s="2">
        <f t="shared" si="0"/>
        <v>380</v>
      </c>
      <c r="D9" s="2">
        <f t="shared" si="5"/>
        <v>187</v>
      </c>
      <c r="E9" s="2">
        <f t="shared" si="1"/>
        <v>127.39999999999998</v>
      </c>
      <c r="F9" s="2">
        <f t="shared" si="2"/>
        <v>811.53799999999978</v>
      </c>
      <c r="G9" s="2">
        <f t="shared" si="3"/>
        <v>5169.4970599999979</v>
      </c>
      <c r="H9" s="2">
        <f t="shared" si="4"/>
        <v>0.1</v>
      </c>
      <c r="J9" s="4">
        <v>19</v>
      </c>
      <c r="K9" s="4">
        <v>20</v>
      </c>
      <c r="L9" s="4">
        <v>18</v>
      </c>
      <c r="M9" s="4">
        <v>20</v>
      </c>
      <c r="N9" s="4">
        <v>1.1399999999999999</v>
      </c>
      <c r="O9" s="4">
        <v>1.57</v>
      </c>
      <c r="P9" s="4">
        <v>6.7000000000000004E-2</v>
      </c>
      <c r="Q9" s="4">
        <v>13.4</v>
      </c>
      <c r="R9" s="4">
        <v>3.25</v>
      </c>
    </row>
    <row r="10" spans="1:21" x14ac:dyDescent="0.25">
      <c r="A10" s="4">
        <v>21</v>
      </c>
      <c r="B10" s="4">
        <v>13</v>
      </c>
      <c r="C10" s="2">
        <f t="shared" si="0"/>
        <v>273</v>
      </c>
      <c r="D10" s="2">
        <f t="shared" si="5"/>
        <v>200</v>
      </c>
      <c r="E10" s="2">
        <f t="shared" si="1"/>
        <v>108.80999999999999</v>
      </c>
      <c r="F10" s="2">
        <f>(A10-$B$14)^2*B10</f>
        <v>910.73969999999986</v>
      </c>
      <c r="G10" s="2">
        <f t="shared" si="3"/>
        <v>7622.8912889999974</v>
      </c>
      <c r="H10" s="2">
        <f t="shared" si="4"/>
        <v>6.5000000000000002E-2</v>
      </c>
      <c r="J10" s="4">
        <v>21</v>
      </c>
      <c r="K10" s="4">
        <v>13</v>
      </c>
      <c r="L10" s="4">
        <v>20</v>
      </c>
      <c r="M10" s="4">
        <v>22</v>
      </c>
      <c r="N10" s="4">
        <v>1.57</v>
      </c>
      <c r="O10" s="4">
        <v>1.99</v>
      </c>
      <c r="P10" s="4">
        <v>3.5999999999999997E-2</v>
      </c>
      <c r="Q10" s="4">
        <v>7.2</v>
      </c>
      <c r="R10" s="4">
        <v>4.67</v>
      </c>
    </row>
    <row r="13" spans="1:21" x14ac:dyDescent="0.25">
      <c r="A13" s="1" t="s">
        <v>0</v>
      </c>
      <c r="B13" s="1" t="s">
        <v>26</v>
      </c>
      <c r="C13" s="1" t="s">
        <v>27</v>
      </c>
      <c r="D13" s="1" t="s">
        <v>28</v>
      </c>
    </row>
    <row r="14" spans="1:21" x14ac:dyDescent="0.25">
      <c r="A14" s="2">
        <v>200</v>
      </c>
      <c r="B14" s="2">
        <v>12.63</v>
      </c>
      <c r="C14" s="2">
        <v>4.7</v>
      </c>
      <c r="D14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Задача1</vt:lpstr>
      <vt:lpstr>Задача2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Emin</dc:creator>
  <cp:lastModifiedBy>Emin Elizbaryan</cp:lastModifiedBy>
  <dcterms:created xsi:type="dcterms:W3CDTF">2015-06-05T18:17:20Z</dcterms:created>
  <dcterms:modified xsi:type="dcterms:W3CDTF">2026-04-06T20:27:14Z</dcterms:modified>
</cp:coreProperties>
</file>