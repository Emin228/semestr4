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"/>
    </mc:Choice>
  </mc:AlternateContent>
  <xr:revisionPtr revIDLastSave="0" documentId="8_{1FFF59E4-5891-43ED-9825-9FD14AD63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Часть 1" sheetId="1" r:id="rId1"/>
    <sheet name="Часть 2" sheetId="2" r:id="rId2"/>
    <sheet name="Часть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9" i="3" l="1"/>
  <c r="G6" i="3"/>
  <c r="F29" i="1"/>
  <c r="G29" i="1" s="1"/>
  <c r="G28" i="1"/>
  <c r="F28" i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J20" i="1"/>
  <c r="F20" i="1"/>
  <c r="G20" i="1" s="1"/>
  <c r="J21" i="1" s="1"/>
  <c r="J22" i="1" s="1"/>
  <c r="G7" i="1"/>
  <c r="G6" i="1"/>
  <c r="G9" i="1" s="1"/>
  <c r="G21" i="3" l="1"/>
  <c r="G20" i="3"/>
  <c r="G7" i="3"/>
  <c r="G8" i="3"/>
  <c r="J23" i="1"/>
  <c r="J24" i="1"/>
  <c r="G11" i="1"/>
  <c r="G10" i="1"/>
  <c r="G8" i="1"/>
</calcChain>
</file>

<file path=xl/sharedStrings.xml><?xml version="1.0" encoding="utf-8"?>
<sst xmlns="http://schemas.openxmlformats.org/spreadsheetml/2006/main" count="89" uniqueCount="61">
  <si>
    <t>Часть 1. Корреляция Пирсона и Спирмена</t>
  </si>
  <si>
    <t>Задание 1. Связь времени решения заданий</t>
  </si>
  <si>
    <t>№</t>
  </si>
  <si>
    <t>Y: вербальные задания</t>
  </si>
  <si>
    <t>X: наглядно-образные задания</t>
  </si>
  <si>
    <t>Показатель</t>
  </si>
  <si>
    <t>Расчёт</t>
  </si>
  <si>
    <t>n</t>
  </si>
  <si>
    <t>r Пирсона</t>
  </si>
  <si>
    <t>r Пирсона, контроль</t>
  </si>
  <si>
    <t>Степени свободы</t>
  </si>
  <si>
    <t>t расч.</t>
  </si>
  <si>
    <t>Теснота связи</t>
  </si>
  <si>
    <t>Задание 2. Ранговая корреляция Спирмена</t>
  </si>
  <si>
    <t>Профессия</t>
  </si>
  <si>
    <t>Оценка студента</t>
  </si>
  <si>
    <t>Оценка преподавателя</t>
  </si>
  <si>
    <t>dᵢ</t>
  </si>
  <si>
    <t>dᵢ²</t>
  </si>
  <si>
    <t>профессор</t>
  </si>
  <si>
    <t>врач</t>
  </si>
  <si>
    <t>Σdᵢ²</t>
  </si>
  <si>
    <t>учитель школы</t>
  </si>
  <si>
    <t>rₛ Спирмена</t>
  </si>
  <si>
    <t>директор магазина</t>
  </si>
  <si>
    <t>бухгалтер</t>
  </si>
  <si>
    <t>банкир</t>
  </si>
  <si>
    <t>водитель</t>
  </si>
  <si>
    <t>журналист</t>
  </si>
  <si>
    <t>ди-джей</t>
  </si>
  <si>
    <t>программист</t>
  </si>
  <si>
    <t>Часть 2. Ранговый анализ и согласованность арбитров</t>
  </si>
  <si>
    <t>Задание 3.1. Стаж работы и время решения задачи</t>
  </si>
  <si>
    <t>Время Y, мин.</t>
  </si>
  <si>
    <t>Стаж X, мес.</t>
  </si>
  <si>
    <t>Ранг Y</t>
  </si>
  <si>
    <t>Ранг X</t>
  </si>
  <si>
    <t>rₛ по формуле</t>
  </si>
  <si>
    <t>rₛ через CORREL</t>
  </si>
  <si>
    <t>Направление</t>
  </si>
  <si>
    <t>отрицательная</t>
  </si>
  <si>
    <t>сильная</t>
  </si>
  <si>
    <t>Задание 3.2. Согласованность оценок трёх арбитров</t>
  </si>
  <si>
    <t>Спортсмен</t>
  </si>
  <si>
    <t>Арбитр C</t>
  </si>
  <si>
    <t>Арбитр A</t>
  </si>
  <si>
    <t>Арбитр B</t>
  </si>
  <si>
    <t>Пара</t>
  </si>
  <si>
    <t>Вывод</t>
  </si>
  <si>
    <t>A-B</t>
  </si>
  <si>
    <t>A-C</t>
  </si>
  <si>
    <t>наиболее согласованы</t>
  </si>
  <si>
    <t>B-C</t>
  </si>
  <si>
    <t>Часть 3. Корреляция пользовательских показателей</t>
  </si>
  <si>
    <t>Задание 4.1. Посещаемость сайта и позиция</t>
  </si>
  <si>
    <t>Позиция сайта Y</t>
  </si>
  <si>
    <t>Посетители X</t>
  </si>
  <si>
    <t>Интерпретация</t>
  </si>
  <si>
    <t>Задание 4.2. Связь агрессивности и IQ</t>
  </si>
  <si>
    <t>IQ Y</t>
  </si>
  <si>
    <t>Агрессивность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</si>
</sst>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sz val="10"/>
      <color rgb="FF111827"/>
      <name val="Arial"/>
    </font>
    <font>
      <b/>
      <sz val="10"/>
      <color rgb="FF111827"/>
      <name val="Arial"/>
    </font>
    <font>
      <b/>
      <sz val="16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C2410C"/>
      </patternFill>
    </fill>
    <fill>
      <patternFill patternType="solid">
        <fgColor rgb="FF115E59"/>
      </patternFill>
    </fill>
    <fill>
      <patternFill patternType="solid">
        <fgColor rgb="FFF0FDFA"/>
      </patternFill>
    </fill>
    <fill>
      <patternFill patternType="solid">
        <fgColor rgb="FF6D28D9"/>
      </patternFill>
    </fill>
    <fill>
      <patternFill patternType="solid">
        <fgColor rgb="FFF5F3FF"/>
      </patternFill>
    </fill>
    <fill>
      <patternFill patternType="solid">
        <fgColor rgb="FF5B21B6"/>
      </patternFill>
    </fill>
    <fill>
      <patternFill patternType="solid">
        <fgColor rgb="FFEEF2FF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DBEAFE"/>
      </patternFill>
    </fill>
  </fills>
  <borders count="1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4A3B8"/>
      </left>
      <right style="thin">
        <color rgb="FFCBD5E1"/>
      </right>
      <top style="medium">
        <color rgb="FF94A3B8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thin">
        <color rgb="FFCBD5E1"/>
      </bottom>
      <diagonal/>
    </border>
    <border>
      <left style="thin">
        <color rgb="FFCBD5E1"/>
      </left>
      <right style="medium">
        <color rgb="FF94A3B8"/>
      </right>
      <top style="medium">
        <color rgb="FF94A3B8"/>
      </top>
      <bottom style="thin">
        <color rgb="FFCBD5E1"/>
      </bottom>
      <diagonal/>
    </border>
    <border>
      <left style="medium">
        <color rgb="FF94A3B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thin">
        <color rgb="FFCBD5E1"/>
      </bottom>
      <diagonal/>
    </border>
    <border>
      <left style="medium">
        <color rgb="FF94A3B8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medium">
        <color rgb="FF94A3B8"/>
      </bottom>
      <diagonal/>
    </border>
    <border>
      <left style="medium">
        <color rgb="FFFB923C"/>
      </left>
      <right style="thin">
        <color rgb="FFCBD5E1"/>
      </right>
      <top style="medium">
        <color rgb="FFFB923C"/>
      </top>
      <bottom style="thin">
        <color rgb="FFCBD5E1"/>
      </bottom>
      <diagonal/>
    </border>
    <border>
      <left style="thin">
        <color rgb="FFCBD5E1"/>
      </left>
      <right style="medium">
        <color rgb="FFFB923C"/>
      </right>
      <top style="medium">
        <color rgb="FFFB923C"/>
      </top>
      <bottom style="thin">
        <color rgb="FFCBD5E1"/>
      </bottom>
      <diagonal/>
    </border>
    <border>
      <left style="medium">
        <color rgb="FFFB923C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FB923C"/>
      </right>
      <top style="thin">
        <color rgb="FFCBD5E1"/>
      </top>
      <bottom style="thin">
        <color rgb="FFCBD5E1"/>
      </bottom>
      <diagonal/>
    </border>
    <border>
      <left style="medium">
        <color rgb="FFFB923C"/>
      </left>
      <right style="thin">
        <color rgb="FFCBD5E1"/>
      </right>
      <top style="thin">
        <color rgb="FFCBD5E1"/>
      </top>
      <bottom style="medium">
        <color rgb="FFFB923C"/>
      </bottom>
      <diagonal/>
    </border>
    <border>
      <left style="thin">
        <color rgb="FFCBD5E1"/>
      </left>
      <right style="medium">
        <color rgb="FFFB923C"/>
      </right>
      <top style="thin">
        <color rgb="FFCBD5E1"/>
      </top>
      <bottom style="medium">
        <color rgb="FFFB923C"/>
      </bottom>
      <diagonal/>
    </border>
    <border>
      <left style="thin">
        <color rgb="FFCBD5E1"/>
      </left>
      <right style="thin">
        <color rgb="FFCBD5E1"/>
      </right>
      <top style="medium">
        <color rgb="FFFB923C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FB923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left" vertical="center" wrapText="1"/>
    </xf>
    <xf numFmtId="0" fontId="1" fillId="6" borderId="13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64" fontId="1" fillId="6" borderId="13" xfId="0" applyNumberFormat="1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left" vertical="center" wrapText="1"/>
    </xf>
    <xf numFmtId="0" fontId="1" fillId="6" borderId="17" xfId="0" applyFont="1" applyFill="1" applyBorder="1" applyAlignment="1">
      <alignment horizontal="left" vertical="center" wrapText="1"/>
    </xf>
    <xf numFmtId="164" fontId="1" fillId="6" borderId="17" xfId="0" applyNumberFormat="1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1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arsonData" displayName="PearsonData" ref="B5:D15">
  <tableColumns count="3">
    <tableColumn id="1" xr3:uid="{00000000-0010-0000-0000-000001000000}" name="№"/>
    <tableColumn id="2" xr3:uid="{00000000-0010-0000-0000-000002000000}" name="Y: вербальные задания"/>
    <tableColumn id="3" xr3:uid="{00000000-0010-0000-0000-000003000000}" name="X: наглядно-образные задани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earmanData" displayName="SpearmanData" ref="B19:G29">
  <tableColumns count="6">
    <tableColumn id="1" xr3:uid="{00000000-0010-0000-0100-000001000000}" name="№"/>
    <tableColumn id="2" xr3:uid="{00000000-0010-0000-0100-000002000000}" name="Профессия"/>
    <tableColumn id="3" xr3:uid="{00000000-0010-0000-0100-000003000000}" name="Оценка студента"/>
    <tableColumn id="4" xr3:uid="{00000000-0010-0000-0100-000004000000}" name="Оценка преподавателя"/>
    <tableColumn id="5" xr3:uid="{00000000-0010-0000-0100-000005000000}" name="dᵢ"/>
    <tableColumn id="6" xr3:uid="{00000000-0010-0000-0100-000006000000}" name="dᵢ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rienceData" displayName="ExperienceData" ref="B5:H15">
  <tableColumns count="7">
    <tableColumn id="1" xr3:uid="{00000000-0010-0000-0200-000001000000}" name="№"/>
    <tableColumn id="2" xr3:uid="{00000000-0010-0000-0200-000002000000}" name="Время Y, мин."/>
    <tableColumn id="3" xr3:uid="{00000000-0010-0000-0200-000003000000}" name="Стаж X, мес."/>
    <tableColumn id="4" xr3:uid="{00000000-0010-0000-0200-000004000000}" name="Ранг Y"/>
    <tableColumn id="5" xr3:uid="{00000000-0010-0000-0200-000005000000}" name="Ранг X"/>
    <tableColumn id="6" xr3:uid="{00000000-0010-0000-0200-000006000000}" name="dᵢ"/>
    <tableColumn id="7" xr3:uid="{00000000-0010-0000-0200-000007000000}" name="dᵢ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bitersData" displayName="ArbitersData" ref="B20:E30">
  <tableColumns count="4">
    <tableColumn id="1" xr3:uid="{00000000-0010-0000-0300-000001000000}" name="Спортсмен"/>
    <tableColumn id="2" xr3:uid="{00000000-0010-0000-0300-000002000000}" name="Арбитр C"/>
    <tableColumn id="3" xr3:uid="{00000000-0010-0000-0300-000003000000}" name="Арбитр A"/>
    <tableColumn id="4" xr3:uid="{00000000-0010-0000-0300-000004000000}" name="Арбитр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teData" displayName="SiteData" ref="B5:D14">
  <tableColumns count="3">
    <tableColumn id="1" xr3:uid="{00000000-0010-0000-0400-000001000000}" name="№"/>
    <tableColumn id="2" xr3:uid="{00000000-0010-0000-0400-000002000000}" name="Позиция сайта Y"/>
    <tableColumn id="3" xr3:uid="{00000000-0010-0000-0400-000003000000}" name="Посетители 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QAggressionData" displayName="IQAggressionData" ref="B18:D32">
  <tableColumns count="3">
    <tableColumn id="1" xr3:uid="{00000000-0010-0000-0500-000001000000}" name="№"/>
    <tableColumn id="2" xr3:uid="{00000000-0010-0000-0500-000002000000}" name="IQ Y"/>
    <tableColumn id="3" xr3:uid="{00000000-0010-0000-0500-000003000000}" name="Агрессивность 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Lab Restyle">
  <a:themeElements>
    <a:clrScheme name="Lab Restyle">
      <a:dk1>
        <a:srgbClr val="111827"/>
      </a:dk1>
      <a:lt1>
        <a:srgbClr val="FFFFFF"/>
      </a:lt1>
      <a:dk2>
        <a:srgbClr val="0E2841"/>
      </a:dk2>
      <a:lt2>
        <a:srgbClr val="E5E7EB"/>
      </a:lt2>
      <a:accent1>
        <a:srgbClr val="0F766E"/>
      </a:accent1>
      <a:accent2>
        <a:srgbClr val="7C3AED"/>
      </a:accent2>
      <a:accent3>
        <a:srgbClr val="2563EB"/>
      </a:accent3>
      <a:accent4>
        <a:srgbClr val="F97316"/>
      </a:accent4>
      <a:accent5>
        <a:srgbClr val="10B981"/>
      </a:accent5>
      <a:accent6>
        <a:srgbClr val="64748B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ab Restyl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/>
  </sheetViews>
  <sheetFormatPr defaultRowHeight="14.25"/>
  <cols>
    <col min="1" max="1" width="3" customWidth="1"/>
    <col min="2" max="2" width="8" customWidth="1"/>
    <col min="3" max="3" width="22" customWidth="1"/>
    <col min="4" max="4" width="18" customWidth="1"/>
    <col min="5" max="5" width="22" customWidth="1"/>
    <col min="6" max="7" width="10" customWidth="1"/>
    <col min="8" max="8" width="4" customWidth="1"/>
    <col min="9" max="9" width="24" customWidth="1"/>
    <col min="10" max="10" width="18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>
      <c r="A2" s="1"/>
      <c r="B2" s="59" t="s">
        <v>0</v>
      </c>
      <c r="C2" s="59"/>
      <c r="D2" s="59"/>
      <c r="E2" s="59"/>
      <c r="F2" s="59"/>
      <c r="G2" s="59"/>
      <c r="H2" s="59"/>
      <c r="I2" s="59"/>
      <c r="J2" s="59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60" t="s">
        <v>1</v>
      </c>
      <c r="C4" s="60"/>
      <c r="D4" s="60"/>
      <c r="E4" s="1"/>
      <c r="F4" s="1"/>
      <c r="G4" s="1"/>
      <c r="H4" s="1"/>
      <c r="I4" s="1"/>
      <c r="J4" s="1"/>
      <c r="K4" s="1"/>
    </row>
    <row r="5" spans="1:11" ht="25.5">
      <c r="A5" s="1"/>
      <c r="B5" s="2" t="s">
        <v>2</v>
      </c>
      <c r="C5" s="3" t="s">
        <v>3</v>
      </c>
      <c r="D5" s="4" t="s">
        <v>4</v>
      </c>
      <c r="E5" s="1"/>
      <c r="F5" s="5" t="s">
        <v>5</v>
      </c>
      <c r="G5" s="6" t="s">
        <v>6</v>
      </c>
      <c r="H5" s="1"/>
      <c r="I5" s="1"/>
      <c r="J5" s="1"/>
      <c r="K5" s="1"/>
    </row>
    <row r="6" spans="1:11">
      <c r="A6" s="1"/>
      <c r="B6" s="7">
        <v>1</v>
      </c>
      <c r="C6" s="8">
        <v>17</v>
      </c>
      <c r="D6" s="9">
        <v>19</v>
      </c>
      <c r="E6" s="1"/>
      <c r="F6" s="10" t="s">
        <v>7</v>
      </c>
      <c r="G6" s="11">
        <f>COUNT(D6:D15)</f>
        <v>10</v>
      </c>
      <c r="H6" s="1"/>
      <c r="I6" s="1"/>
      <c r="J6" s="1"/>
      <c r="K6" s="1"/>
    </row>
    <row r="7" spans="1:11">
      <c r="A7" s="1"/>
      <c r="B7" s="12">
        <v>2</v>
      </c>
      <c r="C7" s="13">
        <v>7</v>
      </c>
      <c r="D7" s="14">
        <v>32</v>
      </c>
      <c r="E7" s="1"/>
      <c r="F7" s="10" t="s">
        <v>8</v>
      </c>
      <c r="G7" s="15">
        <f>CORREL(D6:D15,C6:C15)</f>
        <v>0.54118979227421904</v>
      </c>
      <c r="H7" s="1"/>
      <c r="I7" s="1"/>
      <c r="J7" s="1"/>
      <c r="K7" s="1"/>
    </row>
    <row r="8" spans="1:11" ht="25.5">
      <c r="A8" s="1"/>
      <c r="B8" s="7">
        <v>3</v>
      </c>
      <c r="C8" s="8">
        <v>17</v>
      </c>
      <c r="D8" s="9">
        <v>33</v>
      </c>
      <c r="E8" s="1"/>
      <c r="F8" s="10" t="s">
        <v>9</v>
      </c>
      <c r="G8" s="15">
        <f>ROUND(G7,5)</f>
        <v>0.54118999999999995</v>
      </c>
      <c r="H8" s="1"/>
      <c r="I8" s="1"/>
      <c r="J8" s="1"/>
      <c r="K8" s="1"/>
    </row>
    <row r="9" spans="1:11" ht="25.5">
      <c r="A9" s="1"/>
      <c r="B9" s="12">
        <v>4</v>
      </c>
      <c r="C9" s="13">
        <v>28</v>
      </c>
      <c r="D9" s="14">
        <v>44</v>
      </c>
      <c r="E9" s="1"/>
      <c r="F9" s="10" t="s">
        <v>10</v>
      </c>
      <c r="G9" s="15">
        <f>G6-2</f>
        <v>8</v>
      </c>
      <c r="H9" s="1"/>
      <c r="I9" s="1"/>
      <c r="J9" s="1"/>
      <c r="K9" s="1"/>
    </row>
    <row r="10" spans="1:11">
      <c r="A10" s="1"/>
      <c r="B10" s="7">
        <v>5</v>
      </c>
      <c r="C10" s="8">
        <v>27</v>
      </c>
      <c r="D10" s="9">
        <v>28</v>
      </c>
      <c r="E10" s="1"/>
      <c r="F10" s="10" t="s">
        <v>11</v>
      </c>
      <c r="G10" s="15">
        <f>ABS(G7)*SQRT(G9/(1-G7^2))</f>
        <v>1.8203294370012522</v>
      </c>
      <c r="H10" s="1"/>
      <c r="I10" s="1"/>
      <c r="J10" s="1"/>
      <c r="K10" s="1"/>
    </row>
    <row r="11" spans="1:11" ht="25.5">
      <c r="A11" s="1"/>
      <c r="B11" s="12">
        <v>6</v>
      </c>
      <c r="C11" s="13">
        <v>31</v>
      </c>
      <c r="D11" s="14">
        <v>35</v>
      </c>
      <c r="E11" s="1"/>
      <c r="F11" s="16" t="s">
        <v>12</v>
      </c>
      <c r="G11" s="17" t="str">
        <f>IF(ABS(G7)&gt;=0.7,"сильная",IF(ABS(G7)&gt;=0.3,"средняя","слабая"))</f>
        <v>средняя</v>
      </c>
      <c r="H11" s="1"/>
      <c r="I11" s="1"/>
      <c r="J11" s="1"/>
      <c r="K11" s="1"/>
    </row>
    <row r="12" spans="1:11">
      <c r="A12" s="1"/>
      <c r="B12" s="7">
        <v>7</v>
      </c>
      <c r="C12" s="8">
        <v>20</v>
      </c>
      <c r="D12" s="9">
        <v>39</v>
      </c>
      <c r="E12" s="1"/>
      <c r="F12" s="1"/>
      <c r="G12" s="1"/>
      <c r="H12" s="1"/>
      <c r="I12" s="1"/>
      <c r="J12" s="1"/>
      <c r="K12" s="1"/>
    </row>
    <row r="13" spans="1:11">
      <c r="A13" s="1"/>
      <c r="B13" s="12">
        <v>8</v>
      </c>
      <c r="C13" s="13">
        <v>17</v>
      </c>
      <c r="D13" s="14">
        <v>39</v>
      </c>
      <c r="E13" s="1"/>
      <c r="F13" s="1"/>
      <c r="G13" s="1"/>
      <c r="H13" s="1"/>
      <c r="I13" s="1"/>
      <c r="J13" s="1"/>
      <c r="K13" s="1"/>
    </row>
    <row r="14" spans="1:11">
      <c r="A14" s="1"/>
      <c r="B14" s="7">
        <v>9</v>
      </c>
      <c r="C14" s="8">
        <v>35</v>
      </c>
      <c r="D14" s="9">
        <v>44</v>
      </c>
      <c r="E14" s="1"/>
      <c r="F14" s="1"/>
      <c r="G14" s="1"/>
      <c r="H14" s="1"/>
      <c r="I14" s="1"/>
      <c r="J14" s="1"/>
      <c r="K14" s="1"/>
    </row>
    <row r="15" spans="1:11">
      <c r="A15" s="1"/>
      <c r="B15" s="18">
        <v>10</v>
      </c>
      <c r="C15" s="19">
        <v>43</v>
      </c>
      <c r="D15" s="20">
        <v>44</v>
      </c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4" customHeight="1">
      <c r="A18" s="1"/>
      <c r="B18" s="61" t="s">
        <v>13</v>
      </c>
      <c r="C18" s="61"/>
      <c r="D18" s="61"/>
      <c r="E18" s="61"/>
      <c r="F18" s="61"/>
      <c r="G18" s="61"/>
      <c r="H18" s="1"/>
      <c r="I18" s="1"/>
      <c r="J18" s="1"/>
      <c r="K18" s="1"/>
    </row>
    <row r="19" spans="1:11">
      <c r="A19" s="1"/>
      <c r="B19" s="21" t="s">
        <v>2</v>
      </c>
      <c r="C19" s="22" t="s">
        <v>14</v>
      </c>
      <c r="D19" s="22" t="s">
        <v>15</v>
      </c>
      <c r="E19" s="22" t="s">
        <v>16</v>
      </c>
      <c r="F19" s="22" t="s">
        <v>17</v>
      </c>
      <c r="G19" s="23" t="s">
        <v>18</v>
      </c>
      <c r="H19" s="1"/>
      <c r="I19" s="5" t="s">
        <v>5</v>
      </c>
      <c r="J19" s="6" t="s">
        <v>6</v>
      </c>
      <c r="K19" s="1"/>
    </row>
    <row r="20" spans="1:11">
      <c r="A20" s="1"/>
      <c r="B20" s="24">
        <v>1</v>
      </c>
      <c r="C20" s="25" t="s">
        <v>19</v>
      </c>
      <c r="D20" s="25">
        <v>2</v>
      </c>
      <c r="E20" s="25">
        <v>3</v>
      </c>
      <c r="F20" s="25">
        <f t="shared" ref="F20:F29" si="0">E20-D20</f>
        <v>1</v>
      </c>
      <c r="G20" s="26">
        <f t="shared" ref="G20:G29" si="1">F20^2</f>
        <v>1</v>
      </c>
      <c r="H20" s="1"/>
      <c r="I20" s="10" t="s">
        <v>7</v>
      </c>
      <c r="J20" s="11">
        <f>COUNT(D20:D29)</f>
        <v>10</v>
      </c>
      <c r="K20" s="1"/>
    </row>
    <row r="21" spans="1:11">
      <c r="A21" s="1"/>
      <c r="B21" s="12">
        <v>2</v>
      </c>
      <c r="C21" s="13" t="s">
        <v>20</v>
      </c>
      <c r="D21" s="13">
        <v>1</v>
      </c>
      <c r="E21" s="13">
        <v>1</v>
      </c>
      <c r="F21" s="13">
        <f t="shared" si="0"/>
        <v>0</v>
      </c>
      <c r="G21" s="14">
        <f t="shared" si="1"/>
        <v>0</v>
      </c>
      <c r="H21" s="1"/>
      <c r="I21" s="10" t="s">
        <v>21</v>
      </c>
      <c r="J21" s="11">
        <f>SUM(G20:G29)</f>
        <v>42</v>
      </c>
      <c r="K21" s="1"/>
    </row>
    <row r="22" spans="1:11">
      <c r="A22" s="1"/>
      <c r="B22" s="24">
        <v>3</v>
      </c>
      <c r="C22" s="25" t="s">
        <v>22</v>
      </c>
      <c r="D22" s="25">
        <v>7</v>
      </c>
      <c r="E22" s="25">
        <v>4</v>
      </c>
      <c r="F22" s="25">
        <f t="shared" si="0"/>
        <v>-3</v>
      </c>
      <c r="G22" s="26">
        <f t="shared" si="1"/>
        <v>9</v>
      </c>
      <c r="H22" s="1"/>
      <c r="I22" s="10" t="s">
        <v>23</v>
      </c>
      <c r="J22" s="15">
        <f>1-6*J21/(J20*(J20^2-1))</f>
        <v>0.74545454545454548</v>
      </c>
      <c r="K22" s="1"/>
    </row>
    <row r="23" spans="1:11">
      <c r="A23" s="1"/>
      <c r="B23" s="12">
        <v>4</v>
      </c>
      <c r="C23" s="13" t="s">
        <v>24</v>
      </c>
      <c r="D23" s="13">
        <v>4</v>
      </c>
      <c r="E23" s="13">
        <v>2</v>
      </c>
      <c r="F23" s="13">
        <f t="shared" si="0"/>
        <v>-2</v>
      </c>
      <c r="G23" s="14">
        <f t="shared" si="1"/>
        <v>4</v>
      </c>
      <c r="H23" s="1"/>
      <c r="I23" s="10" t="s">
        <v>11</v>
      </c>
      <c r="J23" s="15">
        <f>ABS(J22)*SQRT((J20-2)/(1-J22^2))</f>
        <v>3.1632186742228838</v>
      </c>
      <c r="K23" s="1"/>
    </row>
    <row r="24" spans="1:11">
      <c r="A24" s="1"/>
      <c r="B24" s="24">
        <v>5</v>
      </c>
      <c r="C24" s="25" t="s">
        <v>25</v>
      </c>
      <c r="D24" s="25">
        <v>5</v>
      </c>
      <c r="E24" s="25">
        <v>8</v>
      </c>
      <c r="F24" s="25">
        <f t="shared" si="0"/>
        <v>3</v>
      </c>
      <c r="G24" s="26">
        <f t="shared" si="1"/>
        <v>9</v>
      </c>
      <c r="H24" s="1"/>
      <c r="I24" s="16" t="s">
        <v>12</v>
      </c>
      <c r="J24" s="17" t="str">
        <f>IF(ABS(J22)&gt;=0.7,"сильная",IF(ABS(J22)&gt;=0.3,"средняя","слабая"))</f>
        <v>сильная</v>
      </c>
      <c r="K24" s="1"/>
    </row>
    <row r="25" spans="1:11">
      <c r="A25" s="1"/>
      <c r="B25" s="12">
        <v>6</v>
      </c>
      <c r="C25" s="13" t="s">
        <v>26</v>
      </c>
      <c r="D25" s="13">
        <v>3</v>
      </c>
      <c r="E25" s="13">
        <v>6</v>
      </c>
      <c r="F25" s="13">
        <f t="shared" si="0"/>
        <v>3</v>
      </c>
      <c r="G25" s="14">
        <f t="shared" si="1"/>
        <v>9</v>
      </c>
      <c r="H25" s="1"/>
      <c r="I25" s="1"/>
      <c r="J25" s="1"/>
      <c r="K25" s="1"/>
    </row>
    <row r="26" spans="1:11">
      <c r="A26" s="1"/>
      <c r="B26" s="24">
        <v>7</v>
      </c>
      <c r="C26" s="25" t="s">
        <v>27</v>
      </c>
      <c r="D26" s="25">
        <v>9</v>
      </c>
      <c r="E26" s="25">
        <v>9</v>
      </c>
      <c r="F26" s="25">
        <f t="shared" si="0"/>
        <v>0</v>
      </c>
      <c r="G26" s="26">
        <f t="shared" si="1"/>
        <v>0</v>
      </c>
      <c r="H26" s="1"/>
      <c r="I26" s="1"/>
      <c r="J26" s="1"/>
      <c r="K26" s="1"/>
    </row>
    <row r="27" spans="1:11">
      <c r="A27" s="1"/>
      <c r="B27" s="12">
        <v>8</v>
      </c>
      <c r="C27" s="13" t="s">
        <v>28</v>
      </c>
      <c r="D27" s="13">
        <v>8</v>
      </c>
      <c r="E27" s="13">
        <v>5</v>
      </c>
      <c r="F27" s="13">
        <f t="shared" si="0"/>
        <v>-3</v>
      </c>
      <c r="G27" s="14">
        <f t="shared" si="1"/>
        <v>9</v>
      </c>
      <c r="H27" s="1"/>
      <c r="I27" s="1"/>
      <c r="J27" s="1"/>
      <c r="K27" s="1"/>
    </row>
    <row r="28" spans="1:11">
      <c r="A28" s="1"/>
      <c r="B28" s="24">
        <v>9</v>
      </c>
      <c r="C28" s="25" t="s">
        <v>29</v>
      </c>
      <c r="D28" s="25">
        <v>10</v>
      </c>
      <c r="E28" s="25">
        <v>10</v>
      </c>
      <c r="F28" s="25">
        <f t="shared" si="0"/>
        <v>0</v>
      </c>
      <c r="G28" s="26">
        <f t="shared" si="1"/>
        <v>0</v>
      </c>
      <c r="H28" s="1"/>
      <c r="I28" s="1"/>
      <c r="J28" s="1"/>
      <c r="K28" s="1"/>
    </row>
    <row r="29" spans="1:11">
      <c r="A29" s="1"/>
      <c r="B29" s="18">
        <v>10</v>
      </c>
      <c r="C29" s="19" t="s">
        <v>30</v>
      </c>
      <c r="D29" s="19">
        <v>6</v>
      </c>
      <c r="E29" s="19">
        <v>7</v>
      </c>
      <c r="F29" s="19">
        <f t="shared" si="0"/>
        <v>1</v>
      </c>
      <c r="G29" s="20">
        <f t="shared" si="1"/>
        <v>1</v>
      </c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3">
    <mergeCell ref="B2:J2"/>
    <mergeCell ref="B4:D4"/>
    <mergeCell ref="B18:G18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workbookViewId="0"/>
  </sheetViews>
  <sheetFormatPr defaultRowHeight="14.25"/>
  <cols>
    <col min="1" max="1" width="3" customWidth="1"/>
    <col min="2" max="2" width="12" customWidth="1"/>
    <col min="3" max="5" width="14" customWidth="1"/>
    <col min="6" max="6" width="4" customWidth="1"/>
    <col min="7" max="8" width="14" customWidth="1"/>
    <col min="9" max="9" width="17" customWidth="1"/>
    <col min="10" max="10" width="22" customWidth="1"/>
    <col min="11" max="11" width="18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>
      <c r="A2" s="1"/>
      <c r="B2" s="59" t="s">
        <v>31</v>
      </c>
      <c r="C2" s="59"/>
      <c r="D2" s="59"/>
      <c r="E2" s="59"/>
      <c r="F2" s="59"/>
      <c r="G2" s="59"/>
      <c r="H2" s="59"/>
      <c r="I2" s="59"/>
      <c r="J2" s="59"/>
      <c r="K2" s="59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62" t="s">
        <v>32</v>
      </c>
      <c r="C4" s="62"/>
      <c r="D4" s="62"/>
      <c r="E4" s="62"/>
      <c r="F4" s="62"/>
      <c r="G4" s="62"/>
      <c r="H4" s="62"/>
      <c r="I4" s="1"/>
      <c r="J4" s="1"/>
      <c r="K4" s="1"/>
    </row>
    <row r="5" spans="1:11" ht="25.5">
      <c r="A5" s="1"/>
      <c r="B5" s="27" t="s">
        <v>2</v>
      </c>
      <c r="C5" s="28" t="s">
        <v>33</v>
      </c>
      <c r="D5" s="28" t="s">
        <v>34</v>
      </c>
      <c r="E5" s="28" t="s">
        <v>35</v>
      </c>
      <c r="F5" s="28" t="s">
        <v>36</v>
      </c>
      <c r="G5" s="28" t="s">
        <v>17</v>
      </c>
      <c r="H5" s="29" t="s">
        <v>18</v>
      </c>
      <c r="I5" s="1"/>
      <c r="J5" s="5" t="s">
        <v>5</v>
      </c>
      <c r="K5" s="6" t="s">
        <v>6</v>
      </c>
    </row>
    <row r="6" spans="1:11">
      <c r="A6" s="1"/>
      <c r="B6" s="30">
        <v>1</v>
      </c>
      <c r="C6" s="31">
        <v>12</v>
      </c>
      <c r="D6" s="31">
        <v>32</v>
      </c>
      <c r="E6" s="31">
        <v>4</v>
      </c>
      <c r="F6" s="31">
        <v>10</v>
      </c>
      <c r="G6" s="31">
        <v>6</v>
      </c>
      <c r="H6" s="32">
        <v>36</v>
      </c>
      <c r="I6" s="1"/>
      <c r="J6" s="10" t="s">
        <v>7</v>
      </c>
      <c r="K6" s="11">
        <v>10</v>
      </c>
    </row>
    <row r="7" spans="1:11">
      <c r="A7" s="1"/>
      <c r="B7" s="12">
        <v>2</v>
      </c>
      <c r="C7" s="13">
        <v>24</v>
      </c>
      <c r="D7" s="13">
        <v>15</v>
      </c>
      <c r="E7" s="13">
        <v>10</v>
      </c>
      <c r="F7" s="13">
        <v>1</v>
      </c>
      <c r="G7" s="13">
        <v>-9</v>
      </c>
      <c r="H7" s="14">
        <v>81</v>
      </c>
      <c r="I7" s="1"/>
      <c r="J7" s="10" t="s">
        <v>21</v>
      </c>
      <c r="K7" s="11">
        <v>306</v>
      </c>
    </row>
    <row r="8" spans="1:11">
      <c r="A8" s="1"/>
      <c r="B8" s="30">
        <v>3</v>
      </c>
      <c r="C8" s="31">
        <v>23</v>
      </c>
      <c r="D8" s="31">
        <v>16</v>
      </c>
      <c r="E8" s="31">
        <v>9</v>
      </c>
      <c r="F8" s="31">
        <v>2</v>
      </c>
      <c r="G8" s="31">
        <v>-7</v>
      </c>
      <c r="H8" s="32">
        <v>49</v>
      </c>
      <c r="I8" s="1"/>
      <c r="J8" s="10" t="s">
        <v>37</v>
      </c>
      <c r="K8" s="15">
        <v>-0.8545454545454545</v>
      </c>
    </row>
    <row r="9" spans="1:11">
      <c r="A9" s="1"/>
      <c r="B9" s="12">
        <v>4</v>
      </c>
      <c r="C9" s="13">
        <v>21</v>
      </c>
      <c r="D9" s="13">
        <v>18</v>
      </c>
      <c r="E9" s="13">
        <v>8</v>
      </c>
      <c r="F9" s="13">
        <v>4</v>
      </c>
      <c r="G9" s="13">
        <v>-4</v>
      </c>
      <c r="H9" s="14">
        <v>16</v>
      </c>
      <c r="I9" s="1"/>
      <c r="J9" s="10" t="s">
        <v>38</v>
      </c>
      <c r="K9" s="15">
        <v>-0.85454545454545439</v>
      </c>
    </row>
    <row r="10" spans="1:11">
      <c r="A10" s="1"/>
      <c r="B10" s="30">
        <v>5</v>
      </c>
      <c r="C10" s="31">
        <v>20</v>
      </c>
      <c r="D10" s="31">
        <v>20</v>
      </c>
      <c r="E10" s="31">
        <v>7</v>
      </c>
      <c r="F10" s="31">
        <v>5</v>
      </c>
      <c r="G10" s="31">
        <v>-2</v>
      </c>
      <c r="H10" s="32">
        <v>4</v>
      </c>
      <c r="I10" s="1"/>
      <c r="J10" s="10" t="s">
        <v>11</v>
      </c>
      <c r="K10" s="15">
        <v>4.6536934519903674</v>
      </c>
    </row>
    <row r="11" spans="1:11">
      <c r="A11" s="1"/>
      <c r="B11" s="12">
        <v>6</v>
      </c>
      <c r="C11" s="13">
        <v>9</v>
      </c>
      <c r="D11" s="13">
        <v>28</v>
      </c>
      <c r="E11" s="13">
        <v>1</v>
      </c>
      <c r="F11" s="13">
        <v>8</v>
      </c>
      <c r="G11" s="13">
        <v>7</v>
      </c>
      <c r="H11" s="14">
        <v>49</v>
      </c>
      <c r="I11" s="1"/>
      <c r="J11" s="10" t="s">
        <v>39</v>
      </c>
      <c r="K11" s="11" t="s">
        <v>40</v>
      </c>
    </row>
    <row r="12" spans="1:11">
      <c r="A12" s="1"/>
      <c r="B12" s="30">
        <v>7</v>
      </c>
      <c r="C12" s="31">
        <v>11</v>
      </c>
      <c r="D12" s="31">
        <v>21</v>
      </c>
      <c r="E12" s="31">
        <v>3</v>
      </c>
      <c r="F12" s="31">
        <v>6</v>
      </c>
      <c r="G12" s="31">
        <v>3</v>
      </c>
      <c r="H12" s="32">
        <v>9</v>
      </c>
      <c r="I12" s="1"/>
      <c r="J12" s="16" t="s">
        <v>12</v>
      </c>
      <c r="K12" s="17" t="s">
        <v>41</v>
      </c>
    </row>
    <row r="13" spans="1:11">
      <c r="A13" s="1"/>
      <c r="B13" s="12">
        <v>8</v>
      </c>
      <c r="C13" s="13">
        <v>10</v>
      </c>
      <c r="D13" s="13">
        <v>29</v>
      </c>
      <c r="E13" s="13">
        <v>2</v>
      </c>
      <c r="F13" s="13">
        <v>9</v>
      </c>
      <c r="G13" s="13">
        <v>7</v>
      </c>
      <c r="H13" s="14">
        <v>49</v>
      </c>
      <c r="I13" s="1"/>
      <c r="J13" s="1"/>
      <c r="K13" s="1"/>
    </row>
    <row r="14" spans="1:11">
      <c r="A14" s="1"/>
      <c r="B14" s="30">
        <v>9</v>
      </c>
      <c r="C14" s="31">
        <v>15</v>
      </c>
      <c r="D14" s="31">
        <v>23</v>
      </c>
      <c r="E14" s="31">
        <v>5</v>
      </c>
      <c r="F14" s="31">
        <v>7</v>
      </c>
      <c r="G14" s="31">
        <v>2</v>
      </c>
      <c r="H14" s="32">
        <v>4</v>
      </c>
      <c r="I14" s="1"/>
      <c r="J14" s="1"/>
      <c r="K14" s="1"/>
    </row>
    <row r="15" spans="1:11">
      <c r="A15" s="1"/>
      <c r="B15" s="18">
        <v>10</v>
      </c>
      <c r="C15" s="19">
        <v>16</v>
      </c>
      <c r="D15" s="19">
        <v>17</v>
      </c>
      <c r="E15" s="19">
        <v>6</v>
      </c>
      <c r="F15" s="19">
        <v>3</v>
      </c>
      <c r="G15" s="19">
        <v>-3</v>
      </c>
      <c r="H15" s="20">
        <v>9</v>
      </c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/>
      <c r="B19" s="63" t="s">
        <v>42</v>
      </c>
      <c r="C19" s="63"/>
      <c r="D19" s="63"/>
      <c r="E19" s="63"/>
      <c r="F19" s="1"/>
      <c r="G19" s="1"/>
      <c r="H19" s="1"/>
      <c r="I19" s="1"/>
      <c r="J19" s="1"/>
      <c r="K19" s="1"/>
    </row>
    <row r="20" spans="1:11">
      <c r="A20" s="1"/>
      <c r="B20" s="33" t="s">
        <v>43</v>
      </c>
      <c r="C20" s="34" t="s">
        <v>44</v>
      </c>
      <c r="D20" s="34" t="s">
        <v>45</v>
      </c>
      <c r="E20" s="35" t="s">
        <v>46</v>
      </c>
      <c r="F20" s="1"/>
      <c r="G20" s="5" t="s">
        <v>47</v>
      </c>
      <c r="H20" s="36" t="s">
        <v>21</v>
      </c>
      <c r="I20" s="36" t="s">
        <v>23</v>
      </c>
      <c r="J20" s="6" t="s">
        <v>48</v>
      </c>
      <c r="K20" s="1"/>
    </row>
    <row r="21" spans="1:11">
      <c r="A21" s="1"/>
      <c r="B21" s="37">
        <v>1</v>
      </c>
      <c r="C21" s="38">
        <v>6</v>
      </c>
      <c r="D21" s="38">
        <v>1</v>
      </c>
      <c r="E21" s="39">
        <v>3</v>
      </c>
      <c r="F21" s="1"/>
      <c r="G21" s="10" t="s">
        <v>49</v>
      </c>
      <c r="H21" s="40">
        <v>200</v>
      </c>
      <c r="I21" s="41">
        <v>-0.21212121212121215</v>
      </c>
      <c r="J21" s="11"/>
      <c r="K21" s="1"/>
    </row>
    <row r="22" spans="1:11">
      <c r="A22" s="1"/>
      <c r="B22" s="12">
        <v>2</v>
      </c>
      <c r="C22" s="13">
        <v>2</v>
      </c>
      <c r="D22" s="13">
        <v>2</v>
      </c>
      <c r="E22" s="14">
        <v>10</v>
      </c>
      <c r="F22" s="1"/>
      <c r="G22" s="10" t="s">
        <v>50</v>
      </c>
      <c r="H22" s="40">
        <v>60</v>
      </c>
      <c r="I22" s="41">
        <v>0.63636363636363635</v>
      </c>
      <c r="J22" s="11" t="s">
        <v>51</v>
      </c>
      <c r="K22" s="1"/>
    </row>
    <row r="23" spans="1:11">
      <c r="A23" s="1"/>
      <c r="B23" s="37">
        <v>3</v>
      </c>
      <c r="C23" s="38">
        <v>1</v>
      </c>
      <c r="D23" s="38">
        <v>3</v>
      </c>
      <c r="E23" s="39">
        <v>7</v>
      </c>
      <c r="F23" s="1"/>
      <c r="G23" s="16" t="s">
        <v>52</v>
      </c>
      <c r="H23" s="42">
        <v>214</v>
      </c>
      <c r="I23" s="43">
        <v>-0.29696969696969688</v>
      </c>
      <c r="J23" s="17"/>
      <c r="K23" s="1"/>
    </row>
    <row r="24" spans="1:11">
      <c r="A24" s="1"/>
      <c r="B24" s="12">
        <v>4</v>
      </c>
      <c r="C24" s="13">
        <v>3</v>
      </c>
      <c r="D24" s="13">
        <v>4</v>
      </c>
      <c r="E24" s="14">
        <v>2</v>
      </c>
      <c r="F24" s="1"/>
      <c r="G24" s="1"/>
      <c r="H24" s="1"/>
      <c r="I24" s="1"/>
      <c r="J24" s="1"/>
      <c r="K24" s="1"/>
    </row>
    <row r="25" spans="1:11">
      <c r="A25" s="1"/>
      <c r="B25" s="37">
        <v>5</v>
      </c>
      <c r="C25" s="38">
        <v>9</v>
      </c>
      <c r="D25" s="38">
        <v>5</v>
      </c>
      <c r="E25" s="39">
        <v>8</v>
      </c>
      <c r="F25" s="1"/>
      <c r="G25" s="1"/>
      <c r="H25" s="1"/>
      <c r="I25" s="1"/>
      <c r="J25" s="1"/>
      <c r="K25" s="1"/>
    </row>
    <row r="26" spans="1:11">
      <c r="A26" s="1"/>
      <c r="B26" s="12">
        <v>6</v>
      </c>
      <c r="C26" s="13">
        <v>4</v>
      </c>
      <c r="D26" s="13">
        <v>6</v>
      </c>
      <c r="E26" s="14">
        <v>5</v>
      </c>
      <c r="F26" s="1"/>
      <c r="G26" s="1"/>
      <c r="H26" s="1"/>
      <c r="I26" s="1"/>
      <c r="J26" s="1"/>
      <c r="K26" s="1"/>
    </row>
    <row r="27" spans="1:11">
      <c r="A27" s="1"/>
      <c r="B27" s="37">
        <v>7</v>
      </c>
      <c r="C27" s="38">
        <v>5</v>
      </c>
      <c r="D27" s="38">
        <v>7</v>
      </c>
      <c r="E27" s="39">
        <v>6</v>
      </c>
      <c r="F27" s="1"/>
      <c r="G27" s="1"/>
      <c r="H27" s="1"/>
      <c r="I27" s="1"/>
      <c r="J27" s="1"/>
      <c r="K27" s="1"/>
    </row>
    <row r="28" spans="1:11">
      <c r="A28" s="1"/>
      <c r="B28" s="12">
        <v>8</v>
      </c>
      <c r="C28" s="13">
        <v>7</v>
      </c>
      <c r="D28" s="13">
        <v>8</v>
      </c>
      <c r="E28" s="14">
        <v>9</v>
      </c>
      <c r="F28" s="1"/>
      <c r="G28" s="1"/>
      <c r="H28" s="1"/>
      <c r="I28" s="1"/>
      <c r="J28" s="1"/>
      <c r="K28" s="1"/>
    </row>
    <row r="29" spans="1:11">
      <c r="A29" s="1"/>
      <c r="B29" s="37">
        <v>9</v>
      </c>
      <c r="C29" s="38">
        <v>10</v>
      </c>
      <c r="D29" s="38">
        <v>9</v>
      </c>
      <c r="E29" s="39">
        <v>1</v>
      </c>
      <c r="F29" s="1"/>
      <c r="G29" s="1"/>
      <c r="H29" s="1"/>
      <c r="I29" s="1"/>
      <c r="J29" s="1"/>
      <c r="K29" s="1"/>
    </row>
    <row r="30" spans="1:11">
      <c r="A30" s="1"/>
      <c r="B30" s="18">
        <v>10</v>
      </c>
      <c r="C30" s="19">
        <v>8</v>
      </c>
      <c r="D30" s="19">
        <v>10</v>
      </c>
      <c r="E30" s="20">
        <v>4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3">
    <mergeCell ref="B2:K2"/>
    <mergeCell ref="B4:H4"/>
    <mergeCell ref="B19:E19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workbookViewId="0"/>
  </sheetViews>
  <sheetFormatPr defaultRowHeight="14.25"/>
  <cols>
    <col min="1" max="1" width="3" customWidth="1"/>
    <col min="2" max="2" width="9" customWidth="1"/>
    <col min="3" max="3" width="18" customWidth="1"/>
    <col min="4" max="4" width="17" customWidth="1"/>
    <col min="5" max="5" width="4" customWidth="1"/>
    <col min="6" max="6" width="20" customWidth="1"/>
    <col min="7" max="7" width="18" customWidth="1"/>
    <col min="8" max="8" width="4" customWidth="1"/>
    <col min="9" max="9" width="8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>
      <c r="A2" s="1"/>
      <c r="B2" s="59" t="s">
        <v>53</v>
      </c>
      <c r="C2" s="59"/>
      <c r="D2" s="59"/>
      <c r="E2" s="59"/>
      <c r="F2" s="59"/>
      <c r="G2" s="59"/>
      <c r="H2" s="59"/>
      <c r="I2" s="59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64" t="s">
        <v>54</v>
      </c>
      <c r="C4" s="64"/>
      <c r="D4" s="64"/>
      <c r="E4" s="1"/>
      <c r="F4" s="1"/>
      <c r="G4" s="1"/>
      <c r="H4" s="1"/>
      <c r="I4" s="1"/>
      <c r="J4" s="1"/>
      <c r="K4" s="1"/>
    </row>
    <row r="5" spans="1:11">
      <c r="A5" s="1"/>
      <c r="B5" s="44" t="s">
        <v>2</v>
      </c>
      <c r="C5" s="45" t="s">
        <v>55</v>
      </c>
      <c r="D5" s="46" t="s">
        <v>56</v>
      </c>
      <c r="E5" s="1"/>
      <c r="F5" s="5" t="s">
        <v>5</v>
      </c>
      <c r="G5" s="6" t="s">
        <v>6</v>
      </c>
      <c r="H5" s="1"/>
      <c r="I5" s="1"/>
      <c r="J5" s="1"/>
      <c r="K5" s="1"/>
    </row>
    <row r="6" spans="1:11">
      <c r="A6" s="1"/>
      <c r="B6" s="47">
        <v>1</v>
      </c>
      <c r="C6" s="48">
        <v>5.4</v>
      </c>
      <c r="D6" s="49">
        <v>500</v>
      </c>
      <c r="E6" s="1"/>
      <c r="F6" s="10" t="s">
        <v>8</v>
      </c>
      <c r="G6" s="15">
        <f>CORREL(D6:D14,C6:C14)</f>
        <v>-0.65511847916525001</v>
      </c>
      <c r="H6" s="1"/>
      <c r="I6" s="1"/>
      <c r="J6" s="1"/>
      <c r="K6" s="1"/>
    </row>
    <row r="7" spans="1:11">
      <c r="A7" s="1"/>
      <c r="B7" s="12">
        <v>2</v>
      </c>
      <c r="C7" s="13">
        <v>4.2</v>
      </c>
      <c r="D7" s="14">
        <v>790</v>
      </c>
      <c r="E7" s="1"/>
      <c r="F7" s="10" t="s">
        <v>39</v>
      </c>
      <c r="G7" s="11" t="str">
        <f>IF(G6&lt;0,"отрицательная",IF(G6&gt;0,"положительная","нет"))</f>
        <v>отрицательная</v>
      </c>
      <c r="H7" s="1"/>
      <c r="I7" s="1"/>
      <c r="J7" s="1"/>
      <c r="K7" s="1"/>
    </row>
    <row r="8" spans="1:11">
      <c r="A8" s="1"/>
      <c r="B8" s="47">
        <v>3</v>
      </c>
      <c r="C8" s="48">
        <v>4</v>
      </c>
      <c r="D8" s="49">
        <v>870</v>
      </c>
      <c r="E8" s="1"/>
      <c r="F8" s="16" t="s">
        <v>57</v>
      </c>
      <c r="G8" s="17" t="str">
        <f>IF(ABS(G6)&gt;=0.7,"сильная",IF(ABS(G6)&gt;=0.3,"средняя","слабая"))</f>
        <v>средняя</v>
      </c>
      <c r="H8" s="1"/>
      <c r="I8" s="1"/>
      <c r="J8" s="1"/>
      <c r="K8" s="1"/>
    </row>
    <row r="9" spans="1:11">
      <c r="A9" s="1"/>
      <c r="B9" s="12">
        <v>4</v>
      </c>
      <c r="C9" s="13">
        <v>3.4</v>
      </c>
      <c r="D9" s="14">
        <v>1500</v>
      </c>
      <c r="E9" s="1"/>
      <c r="F9" s="1"/>
      <c r="G9" s="1"/>
      <c r="H9" s="1"/>
      <c r="I9" s="1"/>
      <c r="J9" s="1"/>
      <c r="K9" s="1"/>
    </row>
    <row r="10" spans="1:11">
      <c r="A10" s="1"/>
      <c r="B10" s="47">
        <v>5</v>
      </c>
      <c r="C10" s="48">
        <v>2.5</v>
      </c>
      <c r="D10" s="49">
        <v>2300</v>
      </c>
      <c r="E10" s="1"/>
      <c r="F10" s="1"/>
      <c r="G10" s="1"/>
      <c r="H10" s="1"/>
      <c r="I10" s="1"/>
      <c r="J10" s="1"/>
      <c r="K10" s="1"/>
    </row>
    <row r="11" spans="1:11">
      <c r="A11" s="1"/>
      <c r="B11" s="12">
        <v>6</v>
      </c>
      <c r="C11" s="13">
        <v>1</v>
      </c>
      <c r="D11" s="14">
        <v>5600</v>
      </c>
      <c r="E11" s="1"/>
      <c r="F11" s="1"/>
      <c r="G11" s="1"/>
      <c r="H11" s="1"/>
      <c r="I11" s="1"/>
      <c r="J11" s="1"/>
      <c r="K11" s="1"/>
    </row>
    <row r="12" spans="1:11">
      <c r="A12" s="1"/>
      <c r="B12" s="47">
        <v>7</v>
      </c>
      <c r="C12" s="48">
        <v>6.1</v>
      </c>
      <c r="D12" s="49">
        <v>100</v>
      </c>
      <c r="E12" s="1"/>
      <c r="F12" s="1"/>
      <c r="G12" s="1"/>
      <c r="H12" s="1"/>
      <c r="I12" s="1"/>
      <c r="J12" s="1"/>
      <c r="K12" s="1"/>
    </row>
    <row r="13" spans="1:11">
      <c r="A13" s="1"/>
      <c r="B13" s="12">
        <v>8</v>
      </c>
      <c r="C13" s="13">
        <v>8.1999999999999993</v>
      </c>
      <c r="D13" s="14">
        <v>20</v>
      </c>
      <c r="E13" s="1"/>
      <c r="F13" s="1"/>
      <c r="G13" s="1"/>
      <c r="H13" s="1"/>
      <c r="I13" s="1"/>
      <c r="J13" s="1"/>
      <c r="K13" s="1"/>
    </row>
    <row r="14" spans="1:11">
      <c r="A14" s="1"/>
      <c r="B14" s="50">
        <v>9</v>
      </c>
      <c r="C14" s="51">
        <v>14.6</v>
      </c>
      <c r="D14" s="52">
        <v>5</v>
      </c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/>
      <c r="B17" s="65" t="s">
        <v>58</v>
      </c>
      <c r="C17" s="65"/>
      <c r="D17" s="65"/>
      <c r="E17" s="1"/>
      <c r="F17" s="1"/>
      <c r="G17" s="1"/>
      <c r="H17" s="1"/>
      <c r="I17" s="1"/>
      <c r="J17" s="1"/>
      <c r="K17" s="1"/>
    </row>
    <row r="18" spans="1:11">
      <c r="A18" s="1"/>
      <c r="B18" s="53" t="s">
        <v>2</v>
      </c>
      <c r="C18" s="54" t="s">
        <v>59</v>
      </c>
      <c r="D18" s="55" t="s">
        <v>60</v>
      </c>
      <c r="E18" s="1"/>
      <c r="F18" s="5" t="s">
        <v>5</v>
      </c>
      <c r="G18" s="6" t="s">
        <v>6</v>
      </c>
      <c r="H18" s="1"/>
      <c r="I18" s="1"/>
      <c r="J18" s="1"/>
      <c r="K18" s="1"/>
    </row>
    <row r="19" spans="1:11">
      <c r="A19" s="1"/>
      <c r="B19" s="56">
        <v>1</v>
      </c>
      <c r="C19" s="57">
        <v>100</v>
      </c>
      <c r="D19" s="58">
        <v>24</v>
      </c>
      <c r="E19" s="1"/>
      <c r="F19" s="10" t="s">
        <v>8</v>
      </c>
      <c r="G19" s="15">
        <f>CORREL(D19:D32,C19:C32)</f>
        <v>-0.42109242545908371</v>
      </c>
      <c r="H19" s="1"/>
      <c r="I19" s="1"/>
      <c r="J19" s="1"/>
      <c r="K19" s="1"/>
    </row>
    <row r="20" spans="1:11">
      <c r="A20" s="1"/>
      <c r="B20" s="12">
        <v>2</v>
      </c>
      <c r="C20" s="13">
        <v>115</v>
      </c>
      <c r="D20" s="14">
        <v>27</v>
      </c>
      <c r="E20" s="1"/>
      <c r="F20" s="10" t="s">
        <v>39</v>
      </c>
      <c r="G20" s="11" t="str">
        <f>IF(G19&lt;0,"отрицательная",IF(G19&gt;0,"положительная","нет"))</f>
        <v>отрицательная</v>
      </c>
      <c r="H20" s="1"/>
      <c r="I20" s="1"/>
      <c r="J20" s="1"/>
      <c r="K20" s="1"/>
    </row>
    <row r="21" spans="1:11">
      <c r="A21" s="1"/>
      <c r="B21" s="56">
        <v>3</v>
      </c>
      <c r="C21" s="57">
        <v>117</v>
      </c>
      <c r="D21" s="58">
        <v>26</v>
      </c>
      <c r="E21" s="1"/>
      <c r="F21" s="16" t="s">
        <v>57</v>
      </c>
      <c r="G21" s="17" t="str">
        <f>IF(ABS(G19)&gt;=0.7,"сильная",IF(ABS(G19)&gt;=0.3,"средняя","слабая"))</f>
        <v>средняя</v>
      </c>
      <c r="H21" s="1"/>
      <c r="I21" s="1"/>
      <c r="J21" s="1"/>
      <c r="K21" s="1"/>
    </row>
    <row r="22" spans="1:11">
      <c r="A22" s="1"/>
      <c r="B22" s="12">
        <v>4</v>
      </c>
      <c r="C22" s="13">
        <v>119</v>
      </c>
      <c r="D22" s="14">
        <v>21</v>
      </c>
      <c r="E22" s="1"/>
      <c r="F22" s="1"/>
      <c r="G22" s="1"/>
      <c r="H22" s="1"/>
      <c r="I22" s="1"/>
      <c r="J22" s="1"/>
      <c r="K22" s="1"/>
    </row>
    <row r="23" spans="1:11">
      <c r="A23" s="1"/>
      <c r="B23" s="56">
        <v>5</v>
      </c>
      <c r="C23" s="57">
        <v>134</v>
      </c>
      <c r="D23" s="58">
        <v>20</v>
      </c>
      <c r="E23" s="1"/>
      <c r="F23" s="1"/>
      <c r="G23" s="1"/>
      <c r="H23" s="1"/>
      <c r="I23" s="1"/>
      <c r="J23" s="1"/>
      <c r="K23" s="1"/>
    </row>
    <row r="24" spans="1:11">
      <c r="A24" s="1"/>
      <c r="B24" s="12">
        <v>6</v>
      </c>
      <c r="C24" s="13">
        <v>94</v>
      </c>
      <c r="D24" s="14">
        <v>31</v>
      </c>
      <c r="E24" s="1"/>
      <c r="F24" s="1"/>
      <c r="G24" s="1"/>
      <c r="H24" s="1"/>
      <c r="I24" s="1"/>
      <c r="J24" s="1"/>
      <c r="K24" s="1"/>
    </row>
    <row r="25" spans="1:11">
      <c r="A25" s="1"/>
      <c r="B25" s="56">
        <v>7</v>
      </c>
      <c r="C25" s="57">
        <v>105</v>
      </c>
      <c r="D25" s="58">
        <v>26</v>
      </c>
      <c r="E25" s="1"/>
      <c r="F25" s="1"/>
      <c r="G25" s="1"/>
      <c r="H25" s="1"/>
      <c r="I25" s="1"/>
      <c r="J25" s="1"/>
      <c r="K25" s="1"/>
    </row>
    <row r="26" spans="1:11">
      <c r="A26" s="1"/>
      <c r="B26" s="12">
        <v>8</v>
      </c>
      <c r="C26" s="13">
        <v>103</v>
      </c>
      <c r="D26" s="14">
        <v>22</v>
      </c>
      <c r="E26" s="1"/>
      <c r="F26" s="1"/>
      <c r="G26" s="1"/>
      <c r="H26" s="1"/>
      <c r="I26" s="1"/>
      <c r="J26" s="1"/>
      <c r="K26" s="1"/>
    </row>
    <row r="27" spans="1:11">
      <c r="A27" s="1"/>
      <c r="B27" s="56">
        <v>9</v>
      </c>
      <c r="C27" s="57">
        <v>111</v>
      </c>
      <c r="D27" s="58">
        <v>20</v>
      </c>
      <c r="E27" s="1"/>
      <c r="F27" s="1"/>
      <c r="G27" s="1"/>
      <c r="H27" s="1"/>
      <c r="I27" s="1"/>
      <c r="J27" s="1"/>
      <c r="K27" s="1"/>
    </row>
    <row r="28" spans="1:11">
      <c r="A28" s="1"/>
      <c r="B28" s="12">
        <v>10</v>
      </c>
      <c r="C28" s="13">
        <v>124</v>
      </c>
      <c r="D28" s="14">
        <v>18</v>
      </c>
      <c r="E28" s="1"/>
      <c r="F28" s="1"/>
      <c r="G28" s="1"/>
      <c r="H28" s="1"/>
      <c r="I28" s="1"/>
      <c r="J28" s="1"/>
      <c r="K28" s="1"/>
    </row>
    <row r="29" spans="1:11">
      <c r="A29" s="1"/>
      <c r="B29" s="56">
        <v>11</v>
      </c>
      <c r="C29" s="57">
        <v>122</v>
      </c>
      <c r="D29" s="58">
        <v>30</v>
      </c>
      <c r="E29" s="1"/>
      <c r="F29" s="1"/>
      <c r="G29" s="1"/>
      <c r="H29" s="1"/>
      <c r="I29" s="1"/>
      <c r="J29" s="1"/>
      <c r="K29" s="1"/>
    </row>
    <row r="30" spans="1:11">
      <c r="A30" s="1"/>
      <c r="B30" s="12">
        <v>12</v>
      </c>
      <c r="C30" s="13">
        <v>109</v>
      </c>
      <c r="D30" s="14">
        <v>29</v>
      </c>
      <c r="E30" s="1"/>
      <c r="F30" s="1"/>
      <c r="G30" s="1"/>
      <c r="H30" s="1"/>
      <c r="I30" s="1"/>
      <c r="J30" s="1"/>
      <c r="K30" s="1"/>
    </row>
    <row r="31" spans="1:11">
      <c r="A31" s="1"/>
      <c r="B31" s="56">
        <v>13</v>
      </c>
      <c r="C31" s="57">
        <v>110</v>
      </c>
      <c r="D31" s="58">
        <v>24</v>
      </c>
      <c r="E31" s="1"/>
      <c r="F31" s="1"/>
      <c r="G31" s="1"/>
      <c r="H31" s="1"/>
      <c r="I31" s="1"/>
      <c r="J31" s="1"/>
      <c r="K31" s="1"/>
    </row>
    <row r="32" spans="1:11">
      <c r="A32" s="1"/>
      <c r="B32" s="18">
        <v>14</v>
      </c>
      <c r="C32" s="19">
        <v>86</v>
      </c>
      <c r="D32" s="20">
        <v>26</v>
      </c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3">
    <mergeCell ref="B2:I2"/>
    <mergeCell ref="B4:D4"/>
    <mergeCell ref="B17:D1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Часть 1</vt:lpstr>
      <vt:lpstr>Часть 2</vt:lpstr>
      <vt:lpstr>Часть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2026-06-15T19:33:37Z</dcterms:created>
  <dcterms:modified xsi:type="dcterms:W3CDTF">2026-06-15T19:33:37Z</dcterms:modified>
</cp:coreProperties>
</file>