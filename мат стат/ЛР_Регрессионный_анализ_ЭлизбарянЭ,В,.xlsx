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8"/>
  <workbookPr/>
  <mc:AlternateContent xmlns:mc="http://schemas.openxmlformats.org/markup-compatibility/2006">
    <mc:Choice Requires="x15">
      <x15ac:absPath xmlns:x15ac="http://schemas.microsoft.com/office/spreadsheetml/2010/11/ac" url="C:\Users\Emin\4_semestr\мат стат\"/>
    </mc:Choice>
  </mc:AlternateContent>
  <xr:revisionPtr revIDLastSave="0" documentId="8_{C4715112-7C54-4781-98FB-F2DAEB76945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Квартиры" sheetId="1" r:id="rId1"/>
    <sheet name="Распад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B33" i="2"/>
  <c r="H32" i="2"/>
  <c r="I32" i="2" s="1"/>
  <c r="E32" i="2"/>
  <c r="C32" i="2"/>
  <c r="B32" i="2"/>
  <c r="A32" i="2"/>
  <c r="C31" i="2"/>
  <c r="D31" i="2" s="1"/>
  <c r="B31" i="2"/>
  <c r="A31" i="2"/>
  <c r="C30" i="2"/>
  <c r="D30" i="2" s="1"/>
  <c r="B30" i="2"/>
  <c r="A30" i="2"/>
  <c r="H29" i="2"/>
  <c r="I29" i="2" s="1"/>
  <c r="C29" i="2"/>
  <c r="D29" i="2" s="1"/>
  <c r="B29" i="2"/>
  <c r="E29" i="2" s="1"/>
  <c r="A29" i="2"/>
  <c r="C28" i="2"/>
  <c r="D28" i="2" s="1"/>
  <c r="B28" i="2"/>
  <c r="A28" i="2"/>
  <c r="C27" i="2"/>
  <c r="D27" i="2" s="1"/>
  <c r="B27" i="2"/>
  <c r="A27" i="2"/>
  <c r="C26" i="2"/>
  <c r="D26" i="2" s="1"/>
  <c r="B26" i="2"/>
  <c r="A26" i="2"/>
  <c r="C25" i="2"/>
  <c r="D25" i="2" s="1"/>
  <c r="B25" i="2"/>
  <c r="A25" i="2"/>
  <c r="H24" i="2"/>
  <c r="I24" i="2" s="1"/>
  <c r="E24" i="2"/>
  <c r="C24" i="2"/>
  <c r="D24" i="2" s="1"/>
  <c r="B24" i="2"/>
  <c r="A24" i="2"/>
  <c r="C23" i="2"/>
  <c r="D23" i="2" s="1"/>
  <c r="B23" i="2"/>
  <c r="A23" i="2"/>
  <c r="C22" i="2"/>
  <c r="D22" i="2" s="1"/>
  <c r="B22" i="2"/>
  <c r="A22" i="2"/>
  <c r="C21" i="2"/>
  <c r="D21" i="2" s="1"/>
  <c r="B21" i="2"/>
  <c r="A21" i="2"/>
  <c r="C40" i="1"/>
  <c r="B40" i="1"/>
  <c r="K26" i="1" s="1"/>
  <c r="C39" i="1"/>
  <c r="B39" i="1"/>
  <c r="K38" i="1"/>
  <c r="G38" i="1"/>
  <c r="H38" i="1" s="1"/>
  <c r="F38" i="1"/>
  <c r="C38" i="1"/>
  <c r="E38" i="1" s="1"/>
  <c r="B38" i="1"/>
  <c r="D38" i="1" s="1"/>
  <c r="A38" i="1"/>
  <c r="C37" i="1"/>
  <c r="B37" i="1"/>
  <c r="A37" i="1"/>
  <c r="C36" i="1"/>
  <c r="B36" i="1"/>
  <c r="A36" i="1"/>
  <c r="C35" i="1"/>
  <c r="B35" i="1"/>
  <c r="A35" i="1"/>
  <c r="C34" i="1"/>
  <c r="B34" i="1"/>
  <c r="A34" i="1"/>
  <c r="C33" i="1"/>
  <c r="B33" i="1"/>
  <c r="A33" i="1"/>
  <c r="C32" i="1"/>
  <c r="B32" i="1"/>
  <c r="A32" i="1"/>
  <c r="C31" i="1"/>
  <c r="B31" i="1"/>
  <c r="A31" i="1"/>
  <c r="C30" i="1"/>
  <c r="B30" i="1"/>
  <c r="A30" i="1"/>
  <c r="E29" i="1"/>
  <c r="C29" i="1"/>
  <c r="B29" i="1"/>
  <c r="A29" i="1"/>
  <c r="C28" i="1"/>
  <c r="B28" i="1"/>
  <c r="A28" i="1"/>
  <c r="E27" i="1"/>
  <c r="C27" i="1"/>
  <c r="B27" i="1"/>
  <c r="A27" i="1"/>
  <c r="G26" i="1"/>
  <c r="H26" i="1" s="1"/>
  <c r="F26" i="1"/>
  <c r="C26" i="1"/>
  <c r="E26" i="1" s="1"/>
  <c r="B26" i="1"/>
  <c r="D26" i="1" s="1"/>
  <c r="A26" i="1"/>
  <c r="C25" i="1"/>
  <c r="B25" i="1"/>
  <c r="A25" i="1"/>
  <c r="C24" i="1"/>
  <c r="B24" i="1"/>
  <c r="A24" i="1"/>
  <c r="D32" i="2" l="1"/>
  <c r="C34" i="2"/>
  <c r="C33" i="2"/>
  <c r="F31" i="2"/>
  <c r="G31" i="2"/>
  <c r="E31" i="2"/>
  <c r="H31" i="2"/>
  <c r="F30" i="2"/>
  <c r="H30" i="2"/>
  <c r="G30" i="2"/>
  <c r="E30" i="2"/>
  <c r="F29" i="2"/>
  <c r="G29" i="2"/>
  <c r="J29" i="2"/>
  <c r="F28" i="2"/>
  <c r="H28" i="2"/>
  <c r="G28" i="2"/>
  <c r="E28" i="2"/>
  <c r="F27" i="2"/>
  <c r="H27" i="2"/>
  <c r="E27" i="2"/>
  <c r="G27" i="2"/>
  <c r="F26" i="2"/>
  <c r="G26" i="2"/>
  <c r="E26" i="2"/>
  <c r="H26" i="2"/>
  <c r="F25" i="2"/>
  <c r="H25" i="2"/>
  <c r="G25" i="2"/>
  <c r="E25" i="2"/>
  <c r="J24" i="2"/>
  <c r="F24" i="2"/>
  <c r="G24" i="2"/>
  <c r="F23" i="2"/>
  <c r="H23" i="2"/>
  <c r="G23" i="2"/>
  <c r="E23" i="2"/>
  <c r="F22" i="2"/>
  <c r="E22" i="2"/>
  <c r="H22" i="2"/>
  <c r="G22" i="2"/>
  <c r="F21" i="2"/>
  <c r="D33" i="2"/>
  <c r="D34" i="2"/>
  <c r="H21" i="2"/>
  <c r="J21" i="2" s="1"/>
  <c r="G21" i="2"/>
  <c r="E21" i="2"/>
  <c r="I38" i="1"/>
  <c r="J38" i="1"/>
  <c r="E37" i="1"/>
  <c r="K37" i="1"/>
  <c r="G37" i="1"/>
  <c r="H37" i="1" s="1"/>
  <c r="F37" i="1"/>
  <c r="D37" i="1"/>
  <c r="E36" i="1"/>
  <c r="K36" i="1"/>
  <c r="G36" i="1"/>
  <c r="H36" i="1" s="1"/>
  <c r="D36" i="1"/>
  <c r="F36" i="1"/>
  <c r="E35" i="1"/>
  <c r="K35" i="1"/>
  <c r="G35" i="1"/>
  <c r="H35" i="1" s="1"/>
  <c r="F35" i="1"/>
  <c r="D35" i="1"/>
  <c r="E34" i="1"/>
  <c r="K34" i="1"/>
  <c r="D34" i="1"/>
  <c r="G34" i="1"/>
  <c r="H34" i="1" s="1"/>
  <c r="F34" i="1"/>
  <c r="E33" i="1"/>
  <c r="K33" i="1"/>
  <c r="F33" i="1"/>
  <c r="G33" i="1"/>
  <c r="H33" i="1" s="1"/>
  <c r="D33" i="1"/>
  <c r="E32" i="1"/>
  <c r="K32" i="1"/>
  <c r="G32" i="1"/>
  <c r="H32" i="1" s="1"/>
  <c r="F32" i="1"/>
  <c r="D32" i="1"/>
  <c r="E31" i="1"/>
  <c r="K31" i="1"/>
  <c r="G31" i="1"/>
  <c r="H31" i="1" s="1"/>
  <c r="F31" i="1"/>
  <c r="D31" i="1"/>
  <c r="E30" i="1"/>
  <c r="K30" i="1"/>
  <c r="G30" i="1"/>
  <c r="H30" i="1" s="1"/>
  <c r="F30" i="1"/>
  <c r="D30" i="1"/>
  <c r="K29" i="1"/>
  <c r="G29" i="1"/>
  <c r="H29" i="1" s="1"/>
  <c r="F29" i="1"/>
  <c r="D29" i="1"/>
  <c r="E28" i="1"/>
  <c r="F28" i="1"/>
  <c r="G28" i="1"/>
  <c r="H28" i="1" s="1"/>
  <c r="K28" i="1"/>
  <c r="D28" i="1"/>
  <c r="G27" i="1"/>
  <c r="H27" i="1" s="1"/>
  <c r="F27" i="1"/>
  <c r="D27" i="1"/>
  <c r="K27" i="1"/>
  <c r="I26" i="1"/>
  <c r="J26" i="1"/>
  <c r="E25" i="1"/>
  <c r="K25" i="1"/>
  <c r="G25" i="1"/>
  <c r="H25" i="1" s="1"/>
  <c r="F25" i="1"/>
  <c r="D25" i="1"/>
  <c r="E24" i="1"/>
  <c r="K24" i="1"/>
  <c r="G24" i="1"/>
  <c r="H24" i="1" s="1"/>
  <c r="F24" i="1"/>
  <c r="D24" i="1"/>
  <c r="F32" i="2" l="1"/>
  <c r="G32" i="2"/>
  <c r="J32" i="2"/>
  <c r="F33" i="2"/>
  <c r="F34" i="2"/>
  <c r="I21" i="2"/>
  <c r="H33" i="2"/>
  <c r="H34" i="2"/>
  <c r="E34" i="2"/>
  <c r="E33" i="2"/>
  <c r="I37" i="1"/>
  <c r="J37" i="1"/>
  <c r="I36" i="1"/>
  <c r="J36" i="1"/>
  <c r="I35" i="1"/>
  <c r="J35" i="1"/>
  <c r="I34" i="1"/>
  <c r="J34" i="1"/>
  <c r="I33" i="1"/>
  <c r="J33" i="1"/>
  <c r="I32" i="1"/>
  <c r="J32" i="1"/>
  <c r="J31" i="1"/>
  <c r="I31" i="1"/>
  <c r="I30" i="1"/>
  <c r="J30" i="1"/>
  <c r="J29" i="1"/>
  <c r="I29" i="1"/>
  <c r="I28" i="1"/>
  <c r="J28" i="1"/>
  <c r="J27" i="1"/>
  <c r="I27" i="1"/>
  <c r="I25" i="1"/>
  <c r="J25" i="1"/>
  <c r="I24" i="1"/>
  <c r="I39" i="1" s="1"/>
  <c r="J24" i="1"/>
  <c r="H39" i="1"/>
  <c r="E39" i="1"/>
  <c r="E40" i="1"/>
  <c r="F40" i="1"/>
  <c r="F39" i="1"/>
  <c r="D39" i="1"/>
  <c r="D40" i="1"/>
  <c r="K39" i="1"/>
  <c r="I31" i="2"/>
  <c r="J31" i="2"/>
  <c r="I30" i="2"/>
  <c r="J30" i="2"/>
  <c r="I28" i="2"/>
  <c r="J28" i="2"/>
  <c r="I27" i="2"/>
  <c r="J27" i="2"/>
  <c r="I26" i="2"/>
  <c r="J26" i="2"/>
  <c r="I25" i="2"/>
  <c r="J25" i="2"/>
  <c r="I23" i="2"/>
  <c r="J23" i="2"/>
  <c r="I22" i="2"/>
  <c r="J22" i="2"/>
  <c r="I34" i="2" l="1"/>
  <c r="I33" i="2"/>
  <c r="J40" i="1"/>
  <c r="J39" i="1"/>
  <c r="G33" i="2"/>
  <c r="G34" i="2"/>
  <c r="J34" i="2"/>
  <c r="J33" i="2"/>
</calcChain>
</file>

<file path=xl/sharedStrings.xml><?xml version="1.0" encoding="utf-8"?>
<sst xmlns="http://schemas.openxmlformats.org/spreadsheetml/2006/main" count="97" uniqueCount="82">
  <si>
    <t>Регрессионный анализ зависимости стоимости квартиры от площади</t>
  </si>
  <si>
    <t>Исходные данные</t>
  </si>
  <si>
    <t>Основные результаты модели</t>
  </si>
  <si>
    <t>№</t>
  </si>
  <si>
    <t>x</t>
  </si>
  <si>
    <t>y</t>
  </si>
  <si>
    <t>Показатель</t>
  </si>
  <si>
    <t>Значение</t>
  </si>
  <si>
    <t>Пояснение</t>
  </si>
  <si>
    <t>b₀</t>
  </si>
  <si>
    <t>Свободный член уравнения</t>
  </si>
  <si>
    <t>b₁</t>
  </si>
  <si>
    <t>При росте площади на 1 кв. м стоимость возрастает в среднем на 0,30118 тыс. у. е.</t>
  </si>
  <si>
    <t>Уравнение</t>
  </si>
  <si>
    <t>ŷ = 4,7743 + 0,30118x</t>
  </si>
  <si>
    <t>Линейная регрессионная модель</t>
  </si>
  <si>
    <t>Средняя ошибка аппроксимации</t>
  </si>
  <si>
    <t>8,98%</t>
  </si>
  <si>
    <t>Качество модели можно считать достаточно хорошим</t>
  </si>
  <si>
    <t>Коэффициент эластичности</t>
  </si>
  <si>
    <t>При росте площади на 1% стоимость увеличивается примерно на 0,804%</t>
  </si>
  <si>
    <t>r</t>
  </si>
  <si>
    <t>Сильная прямая связь</t>
  </si>
  <si>
    <t>R²</t>
  </si>
  <si>
    <t>85,09% вариации стоимости объясняется изменением площади</t>
  </si>
  <si>
    <t>t-критерий</t>
  </si>
  <si>
    <t>tрасч &gt; tкр</t>
  </si>
  <si>
    <t>Коэффициенты статистически значимы при α = 0,05</t>
  </si>
  <si>
    <t>Fрасч</t>
  </si>
  <si>
    <t>Уравнение регрессии статистически значимо</t>
  </si>
  <si>
    <t>Прогноз x</t>
  </si>
  <si>
    <t>Площадь равна 1,2 от средней площади</t>
  </si>
  <si>
    <t>Прогноз ŷ</t>
  </si>
  <si>
    <t>Прогнозная стоимость квартиры, тыс. у. е.</t>
  </si>
  <si>
    <t>Расчетная таблица для линейной модели</t>
  </si>
  <si>
    <t>x²</t>
  </si>
  <si>
    <t>y²</t>
  </si>
  <si>
    <t>xy</t>
  </si>
  <si>
    <t>ŷ</t>
  </si>
  <si>
    <t>y − ŷ</t>
  </si>
  <si>
    <t>(y − ŷ)²</t>
  </si>
  <si>
    <t>Aᵢ = |y−ŷ|/y</t>
  </si>
  <si>
    <t>(x−x̄)²</t>
  </si>
  <si>
    <t>Итого</t>
  </si>
  <si>
    <t>Среднее</t>
  </si>
  <si>
    <t>Вывод: модель показывает сильную прямую связь между площадью квартиры и ее стоимостью. Значение R² = 0,8509 означает, что площадь объясняет около 85,09% вариации стоимости. Средняя ошибка аппроксимации меньше 10%, поэтому качество модели можно считать приемлемым.</t>
  </si>
  <si>
    <t>Анализ процесса распада радиоактивного вещества</t>
  </si>
  <si>
    <t>t — время; X — количество оставшегося вещества. Используется экспоненциальная модель X = aeᵇᵗ.</t>
  </si>
  <si>
    <t>Основные результаты экспоненциальной модели</t>
  </si>
  <si>
    <t>t</t>
  </si>
  <si>
    <t>X</t>
  </si>
  <si>
    <t>A = ln a</t>
  </si>
  <si>
    <t>Параметр линейной модели после логарифмирования</t>
  </si>
  <si>
    <t>b</t>
  </si>
  <si>
    <t>Отрицательный знак показывает убывание количества вещества</t>
  </si>
  <si>
    <t>a = eᴬ</t>
  </si>
  <si>
    <t>Параметр исходной экспоненциальной модели</t>
  </si>
  <si>
    <t>X̂ = 10,1643e^(-0,2308t)</t>
  </si>
  <si>
    <t>Итоговая модель распада</t>
  </si>
  <si>
    <t>S²ост</t>
  </si>
  <si>
    <t>Остаточная дисперсия</t>
  </si>
  <si>
    <t>Sост</t>
  </si>
  <si>
    <t>Остаточное среднеквадратическое отклонение</t>
  </si>
  <si>
    <t>Модель хорошо описывает исходные данные</t>
  </si>
  <si>
    <t>X̂(5)</t>
  </si>
  <si>
    <t>Прогноз при t = 5</t>
  </si>
  <si>
    <t>Доверительный интервал</t>
  </si>
  <si>
    <t>2,88 ≤ X₀ ≤ 3,56</t>
  </si>
  <si>
    <t>Для среднего прогнозного значения</t>
  </si>
  <si>
    <t>Прогнозный интервал</t>
  </si>
  <si>
    <t>2,25 ≤ X₀ ≤ 4,56</t>
  </si>
  <si>
    <t>Для отдельного наблюдения</t>
  </si>
  <si>
    <t>Расчетная таблица после логарифмирования</t>
  </si>
  <si>
    <t>Y = ln X</t>
  </si>
  <si>
    <t>t²</t>
  </si>
  <si>
    <t>Y²</t>
  </si>
  <si>
    <t>tY</t>
  </si>
  <si>
    <t>Ŷ = A + bt</t>
  </si>
  <si>
    <t>X̂ = e^Ŷ</t>
  </si>
  <si>
    <t>(Y − Ŷ)²</t>
  </si>
  <si>
    <t>Вывод: количество вещества уменьшается с течением времени, что отражается отрицательным коэффициентом b. Значение R² = 0,9708 показывает, что экспоненциальная модель хорошо описывает процесс распада.</t>
  </si>
  <si>
    <t>x — общая площадь квартиры, кв. м; y — рыночная стоимость квартиры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</si>
</sst>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7">
    <font>
      <sz val="11"/>
      <name val="Carlito"/>
    </font>
    <font>
      <b/>
      <sz val="14"/>
      <color rgb="FF1F2937"/>
      <name val="Carlito"/>
    </font>
    <font>
      <i/>
      <sz val="10"/>
      <color rgb="FF4B5563"/>
      <name val="Carlito"/>
    </font>
    <font>
      <b/>
      <sz val="11"/>
      <color rgb="FF1F2937"/>
      <name val="Carlito"/>
    </font>
    <font>
      <sz val="10"/>
      <color rgb="FF111827"/>
      <name val="Carlito"/>
    </font>
    <font>
      <sz val="10"/>
      <color rgb="FF374151"/>
      <name val="Carlito"/>
    </font>
    <font>
      <b/>
      <sz val="10"/>
      <color rgb="FF1F2937"/>
      <name val="Carlito"/>
    </font>
  </fonts>
  <fills count="8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7F9FC"/>
      </patternFill>
    </fill>
    <fill>
      <patternFill patternType="solid">
        <fgColor rgb="FFE2F0D9"/>
      </patternFill>
    </fill>
    <fill>
      <patternFill patternType="solid">
        <fgColor rgb="FFB7DEE8"/>
      </patternFill>
    </fill>
    <fill>
      <patternFill patternType="solid">
        <fgColor rgb="FFF4B183"/>
      </patternFill>
    </fill>
    <fill>
      <patternFill patternType="solid">
        <fgColor rgb="FFFFF2CC"/>
      </patternFill>
    </fill>
  </fills>
  <borders count="18">
    <border>
      <left/>
      <right/>
      <top/>
      <bottom/>
      <diagonal/>
    </border>
    <border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  <diagonal/>
    </border>
    <border>
      <left style="medium">
        <color rgb="FF9AA6B2"/>
      </left>
      <right style="thin">
        <color rgb="FFD6DEE8"/>
      </right>
      <top style="medium">
        <color rgb="FF9AA6B2"/>
      </top>
      <bottom style="thin">
        <color rgb="FFD6DEE8"/>
      </bottom>
      <diagonal/>
    </border>
    <border>
      <left style="thin">
        <color rgb="FFD6DEE8"/>
      </left>
      <right style="thin">
        <color rgb="FFD6DEE8"/>
      </right>
      <top style="medium">
        <color rgb="FF9AA6B2"/>
      </top>
      <bottom style="thin">
        <color rgb="FFD6DEE8"/>
      </bottom>
      <diagonal/>
    </border>
    <border>
      <left style="thin">
        <color rgb="FFD6DEE8"/>
      </left>
      <right style="medium">
        <color rgb="FF9AA6B2"/>
      </right>
      <top style="medium">
        <color rgb="FF9AA6B2"/>
      </top>
      <bottom style="thin">
        <color rgb="FFD6DEE8"/>
      </bottom>
      <diagonal/>
    </border>
    <border>
      <left style="medium">
        <color rgb="FF9AA6B2"/>
      </left>
      <right style="thin">
        <color rgb="FFD6DEE8"/>
      </right>
      <top style="thin">
        <color rgb="FFD6DEE8"/>
      </top>
      <bottom style="thin">
        <color rgb="FFD6DEE8"/>
      </bottom>
      <diagonal/>
    </border>
    <border>
      <left style="thin">
        <color rgb="FFD6DEE8"/>
      </left>
      <right style="medium">
        <color rgb="FF9AA6B2"/>
      </right>
      <top style="thin">
        <color rgb="FFD6DEE8"/>
      </top>
      <bottom style="thin">
        <color rgb="FFD6DEE8"/>
      </bottom>
      <diagonal/>
    </border>
    <border>
      <left style="medium">
        <color rgb="FF9AA6B2"/>
      </left>
      <right style="thin">
        <color rgb="FFD6DEE8"/>
      </right>
      <top style="thin">
        <color rgb="FFD6DEE8"/>
      </top>
      <bottom style="medium">
        <color rgb="FF9AA6B2"/>
      </bottom>
      <diagonal/>
    </border>
    <border>
      <left style="thin">
        <color rgb="FFD6DEE8"/>
      </left>
      <right style="thin">
        <color rgb="FFD6DEE8"/>
      </right>
      <top style="thin">
        <color rgb="FFD6DEE8"/>
      </top>
      <bottom style="medium">
        <color rgb="FF9AA6B2"/>
      </bottom>
      <diagonal/>
    </border>
    <border>
      <left style="thin">
        <color rgb="FFD6DEE8"/>
      </left>
      <right style="medium">
        <color rgb="FF9AA6B2"/>
      </right>
      <top style="thin">
        <color rgb="FFD6DEE8"/>
      </top>
      <bottom style="medium">
        <color rgb="FF9AA6B2"/>
      </bottom>
      <diagonal/>
    </border>
    <border>
      <left style="medium">
        <color rgb="FF9AA6B2"/>
      </left>
      <right/>
      <top style="medium">
        <color rgb="FF9AA6B2"/>
      </top>
      <bottom/>
      <diagonal/>
    </border>
    <border>
      <left/>
      <right/>
      <top style="medium">
        <color rgb="FF9AA6B2"/>
      </top>
      <bottom/>
      <diagonal/>
    </border>
    <border>
      <left/>
      <right style="medium">
        <color rgb="FF9AA6B2"/>
      </right>
      <top style="medium">
        <color rgb="FF9AA6B2"/>
      </top>
      <bottom/>
      <diagonal/>
    </border>
    <border>
      <left style="medium">
        <color rgb="FF9AA6B2"/>
      </left>
      <right/>
      <top/>
      <bottom/>
      <diagonal/>
    </border>
    <border>
      <left/>
      <right style="medium">
        <color rgb="FF9AA6B2"/>
      </right>
      <top/>
      <bottom/>
      <diagonal/>
    </border>
    <border>
      <left style="medium">
        <color rgb="FF9AA6B2"/>
      </left>
      <right/>
      <top/>
      <bottom style="medium">
        <color rgb="FF9AA6B2"/>
      </bottom>
      <diagonal/>
    </border>
    <border>
      <left/>
      <right/>
      <top/>
      <bottom style="medium">
        <color rgb="FF9AA6B2"/>
      </bottom>
      <diagonal/>
    </border>
    <border>
      <left/>
      <right style="medium">
        <color rgb="FF9AA6B2"/>
      </right>
      <top/>
      <bottom style="medium">
        <color rgb="FF9AA6B2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 wrapText="1"/>
    </xf>
    <xf numFmtId="164" fontId="4" fillId="0" borderId="9" xfId="0" applyNumberFormat="1" applyFont="1" applyBorder="1" applyAlignment="1">
      <alignment horizontal="center" vertical="center" wrapText="1"/>
    </xf>
    <xf numFmtId="0" fontId="5" fillId="7" borderId="6" xfId="0" applyFont="1" applyFill="1" applyBorder="1" applyAlignment="1">
      <alignment horizontal="left" vertical="center" wrapText="1"/>
    </xf>
    <xf numFmtId="0" fontId="5" fillId="7" borderId="9" xfId="0" applyFont="1" applyFill="1" applyBorder="1" applyAlignment="1">
      <alignment horizontal="left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165" fontId="4" fillId="0" borderId="8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8" xfId="0" applyNumberFormat="1" applyFont="1" applyBorder="1" applyAlignment="1">
      <alignment horizontal="center" vertical="center" wrapText="1"/>
    </xf>
    <xf numFmtId="165" fontId="4" fillId="0" borderId="6" xfId="0" applyNumberFormat="1" applyFont="1" applyBorder="1" applyAlignment="1">
      <alignment horizontal="center" vertical="center" wrapText="1"/>
    </xf>
    <xf numFmtId="165" fontId="6" fillId="3" borderId="1" xfId="0" applyNumberFormat="1" applyFont="1" applyFill="1" applyBorder="1" applyAlignment="1">
      <alignment horizontal="center" vertical="center" wrapText="1"/>
    </xf>
    <xf numFmtId="165" fontId="6" fillId="3" borderId="6" xfId="0" applyNumberFormat="1" applyFont="1" applyFill="1" applyBorder="1" applyAlignment="1">
      <alignment horizontal="center" vertical="center" wrapText="1"/>
    </xf>
    <xf numFmtId="165" fontId="6" fillId="3" borderId="8" xfId="0" applyNumberFormat="1" applyFont="1" applyFill="1" applyBorder="1" applyAlignment="1">
      <alignment horizontal="center" vertical="center" wrapText="1"/>
    </xf>
    <xf numFmtId="165" fontId="6" fillId="3" borderId="9" xfId="0" applyNumberFormat="1" applyFont="1" applyFill="1" applyBorder="1" applyAlignment="1">
      <alignment horizontal="center" vertical="center" wrapText="1"/>
    </xf>
    <xf numFmtId="1" fontId="4" fillId="0" borderId="5" xfId="0" applyNumberFormat="1" applyFont="1" applyBorder="1" applyAlignment="1">
      <alignment horizontal="center" vertical="center" wrapText="1"/>
    </xf>
    <xf numFmtId="1" fontId="6" fillId="3" borderId="5" xfId="0" applyNumberFormat="1" applyFont="1" applyFill="1" applyBorder="1" applyAlignment="1">
      <alignment horizontal="center" vertical="center" wrapText="1"/>
    </xf>
    <xf numFmtId="1" fontId="6" fillId="3" borderId="7" xfId="0" applyNumberFormat="1" applyFont="1" applyFill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166" fontId="4" fillId="0" borderId="6" xfId="0" applyNumberFormat="1" applyFont="1" applyBorder="1" applyAlignment="1">
      <alignment horizontal="center" vertical="center" wrapText="1"/>
    </xf>
    <xf numFmtId="166" fontId="4" fillId="0" borderId="8" xfId="0" applyNumberFormat="1" applyFont="1" applyBorder="1" applyAlignment="1">
      <alignment horizontal="center" vertical="center" wrapText="1"/>
    </xf>
    <xf numFmtId="166" fontId="4" fillId="0" borderId="9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5" fillId="7" borderId="10" xfId="0" applyFont="1" applyFill="1" applyBorder="1" applyAlignment="1">
      <alignment horizontal="left" vertical="center" wrapText="1"/>
    </xf>
    <xf numFmtId="0" fontId="5" fillId="7" borderId="11" xfId="0" applyFont="1" applyFill="1" applyBorder="1" applyAlignment="1">
      <alignment horizontal="left" vertical="center" wrapText="1"/>
    </xf>
    <xf numFmtId="0" fontId="5" fillId="7" borderId="12" xfId="0" applyFont="1" applyFill="1" applyBorder="1" applyAlignment="1">
      <alignment horizontal="left" vertical="center" wrapText="1"/>
    </xf>
    <xf numFmtId="0" fontId="5" fillId="7" borderId="13" xfId="0" applyFont="1" applyFill="1" applyBorder="1" applyAlignment="1">
      <alignment horizontal="left" vertical="center" wrapText="1"/>
    </xf>
    <xf numFmtId="0" fontId="5" fillId="7" borderId="0" xfId="0" applyFont="1" applyFill="1" applyAlignment="1">
      <alignment horizontal="left" vertical="center" wrapText="1"/>
    </xf>
    <xf numFmtId="0" fontId="5" fillId="7" borderId="14" xfId="0" applyFont="1" applyFill="1" applyBorder="1" applyAlignment="1">
      <alignment horizontal="left" vertical="center" wrapText="1"/>
    </xf>
    <xf numFmtId="0" fontId="5" fillId="7" borderId="15" xfId="0" applyFont="1" applyFill="1" applyBorder="1" applyAlignment="1">
      <alignment horizontal="left" vertical="center" wrapText="1"/>
    </xf>
    <xf numFmtId="0" fontId="5" fillId="7" borderId="16" xfId="0" applyFont="1" applyFill="1" applyBorder="1" applyAlignment="1">
      <alignment horizontal="left" vertical="center" wrapText="1"/>
    </xf>
    <xf numFmtId="0" fontId="5" fillId="7" borderId="1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ApartmentsSource" displayName="TblApartmentsSource" ref="A5:C20">
  <tableColumns count="3">
    <tableColumn id="1" xr3:uid="{00000000-0010-0000-0000-000001000000}" name="№"/>
    <tableColumn id="2" xr3:uid="{00000000-0010-0000-0000-000002000000}" name="x"/>
    <tableColumn id="3" xr3:uid="{00000000-0010-0000-0000-000003000000}" name="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ApartmentsCalc" displayName="TblApartmentsCalc" ref="A23:K40">
  <tableColumns count="11">
    <tableColumn id="1" xr3:uid="{00000000-0010-0000-0100-000001000000}" name="№"/>
    <tableColumn id="2" xr3:uid="{00000000-0010-0000-0100-000002000000}" name="x"/>
    <tableColumn id="3" xr3:uid="{00000000-0010-0000-0100-000003000000}" name="y"/>
    <tableColumn id="4" xr3:uid="{00000000-0010-0000-0100-000004000000}" name="x²"/>
    <tableColumn id="5" xr3:uid="{00000000-0010-0000-0100-000005000000}" name="y²"/>
    <tableColumn id="6" xr3:uid="{00000000-0010-0000-0100-000006000000}" name="xy"/>
    <tableColumn id="7" xr3:uid="{00000000-0010-0000-0100-000007000000}" name="ŷ"/>
    <tableColumn id="8" xr3:uid="{00000000-0010-0000-0100-000008000000}" name="y − ŷ"/>
    <tableColumn id="9" xr3:uid="{00000000-0010-0000-0100-000009000000}" name="(y − ŷ)²"/>
    <tableColumn id="10" xr3:uid="{00000000-0010-0000-0100-00000A000000}" name="Aᵢ = |y−ŷ|/y"/>
    <tableColumn id="11" xr3:uid="{00000000-0010-0000-0100-00000B000000}" name="(x−x̄)²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DecaySource" displayName="TblDecaySource" ref="A5:C17">
  <tableColumns count="3">
    <tableColumn id="1" xr3:uid="{00000000-0010-0000-0200-000001000000}" name="№"/>
    <tableColumn id="2" xr3:uid="{00000000-0010-0000-0200-000002000000}" name="t"/>
    <tableColumn id="3" xr3:uid="{00000000-0010-0000-0200-000003000000}" name="X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DecayCalc" displayName="TblDecayCalc" ref="A20:J34">
  <tableColumns count="10">
    <tableColumn id="1" xr3:uid="{00000000-0010-0000-0300-000001000000}" name="№"/>
    <tableColumn id="2" xr3:uid="{00000000-0010-0000-0300-000002000000}" name="t"/>
    <tableColumn id="3" xr3:uid="{00000000-0010-0000-0300-000003000000}" name="X"/>
    <tableColumn id="4" xr3:uid="{00000000-0010-0000-0300-000004000000}" name="Y = ln X"/>
    <tableColumn id="5" xr3:uid="{00000000-0010-0000-0300-000005000000}" name="t²"/>
    <tableColumn id="6" xr3:uid="{00000000-0010-0000-0300-000006000000}" name="Y²"/>
    <tableColumn id="7" xr3:uid="{00000000-0010-0000-0300-000007000000}" name="tY"/>
    <tableColumn id="8" xr3:uid="{00000000-0010-0000-0300-000008000000}" name="Ŷ = A + bt"/>
    <tableColumn id="9" xr3:uid="{00000000-0010-0000-0300-000009000000}" name="X̂ = e^Ŷ"/>
    <tableColumn id="10" xr3:uid="{00000000-0010-0000-0300-00000A000000}" name="(Y − Ŷ)²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oftAcademic">
  <a:themeElements>
    <a:clrScheme name="SoftAcademic">
      <a:dk1>
        <a:srgbClr val="1F2937"/>
      </a:dk1>
      <a:lt1>
        <a:srgbClr val="FFFFFF"/>
      </a:lt1>
      <a:dk2>
        <a:srgbClr val="0E2841"/>
      </a:dk2>
      <a:lt2>
        <a:srgbClr val="F7F9FC"/>
      </a:lt2>
      <a:accent1>
        <a:srgbClr val="8FAADC"/>
      </a:accent1>
      <a:accent2>
        <a:srgbClr val="A9D18E"/>
      </a:accent2>
      <a:accent3>
        <a:srgbClr val="F4B183"/>
      </a:accent3>
      <a:accent4>
        <a:srgbClr val="D9EAD3"/>
      </a:accent4>
      <a:accent5>
        <a:srgbClr val="EADCF8"/>
      </a:accent5>
      <a:accent6>
        <a:srgbClr val="FCE4D6"/>
      </a:accent6>
      <a:hlink>
        <a:srgbClr val="3B82F6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oftAcademic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opLeftCell="A19" workbookViewId="0">
      <selection activeCell="A3" sqref="A3"/>
    </sheetView>
  </sheetViews>
  <sheetFormatPr defaultRowHeight="14.25"/>
  <cols>
    <col min="1" max="1" width="8" customWidth="1"/>
    <col min="2" max="4" width="12" customWidth="1"/>
    <col min="5" max="6" width="18" customWidth="1"/>
    <col min="7" max="7" width="26" customWidth="1"/>
    <col min="8" max="9" width="14" customWidth="1"/>
    <col min="10" max="10" width="18" customWidth="1"/>
    <col min="11" max="11" width="16" customWidth="1"/>
  </cols>
  <sheetData>
    <row r="1" spans="1:11" ht="27.9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24" customHeight="1">
      <c r="A2" s="30" t="s">
        <v>81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1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 ht="15">
      <c r="A4" s="31" t="s">
        <v>1</v>
      </c>
      <c r="B4" s="31"/>
      <c r="C4" s="31"/>
      <c r="D4" s="28"/>
      <c r="E4" s="32" t="s">
        <v>2</v>
      </c>
      <c r="F4" s="32"/>
      <c r="G4" s="32"/>
      <c r="H4" s="32"/>
      <c r="I4" s="32"/>
      <c r="J4" s="32"/>
      <c r="K4" s="32"/>
    </row>
    <row r="5" spans="1:11" ht="15">
      <c r="A5" s="1" t="s">
        <v>3</v>
      </c>
      <c r="B5" s="2" t="s">
        <v>4</v>
      </c>
      <c r="C5" s="3" t="s">
        <v>5</v>
      </c>
      <c r="D5" s="28"/>
      <c r="E5" s="1" t="s">
        <v>6</v>
      </c>
      <c r="F5" s="2" t="s">
        <v>7</v>
      </c>
      <c r="G5" s="3" t="s">
        <v>8</v>
      </c>
      <c r="H5" s="28"/>
      <c r="I5" s="28"/>
      <c r="J5" s="28"/>
      <c r="K5" s="28"/>
    </row>
    <row r="6" spans="1:11">
      <c r="A6" s="4">
        <v>1</v>
      </c>
      <c r="B6" s="6">
        <v>33</v>
      </c>
      <c r="C6" s="7">
        <v>13.8</v>
      </c>
      <c r="D6" s="28"/>
      <c r="E6" s="4" t="s">
        <v>9</v>
      </c>
      <c r="F6" s="12">
        <v>4.7743000000000002</v>
      </c>
      <c r="G6" s="10" t="s">
        <v>10</v>
      </c>
      <c r="H6" s="28"/>
      <c r="I6" s="28"/>
      <c r="J6" s="28"/>
      <c r="K6" s="28"/>
    </row>
    <row r="7" spans="1:11" ht="38.25">
      <c r="A7" s="4">
        <v>2</v>
      </c>
      <c r="B7" s="6">
        <v>40</v>
      </c>
      <c r="C7" s="7">
        <v>13.8</v>
      </c>
      <c r="D7" s="28"/>
      <c r="E7" s="4" t="s">
        <v>11</v>
      </c>
      <c r="F7" s="12">
        <v>0.30118</v>
      </c>
      <c r="G7" s="10" t="s">
        <v>12</v>
      </c>
      <c r="H7" s="28"/>
      <c r="I7" s="28"/>
      <c r="J7" s="28"/>
      <c r="K7" s="28"/>
    </row>
    <row r="8" spans="1:11" ht="25.5">
      <c r="A8" s="4">
        <v>3</v>
      </c>
      <c r="B8" s="6">
        <v>36</v>
      </c>
      <c r="C8" s="7">
        <v>14</v>
      </c>
      <c r="D8" s="28"/>
      <c r="E8" s="4" t="s">
        <v>13</v>
      </c>
      <c r="F8" s="12" t="s">
        <v>14</v>
      </c>
      <c r="G8" s="10" t="s">
        <v>15</v>
      </c>
      <c r="H8" s="28"/>
      <c r="I8" s="28"/>
      <c r="J8" s="28"/>
      <c r="K8" s="28"/>
    </row>
    <row r="9" spans="1:11" ht="25.5">
      <c r="A9" s="4">
        <v>4</v>
      </c>
      <c r="B9" s="6">
        <v>60</v>
      </c>
      <c r="C9" s="7">
        <v>22.5</v>
      </c>
      <c r="D9" s="28"/>
      <c r="E9" s="4" t="s">
        <v>16</v>
      </c>
      <c r="F9" s="12" t="s">
        <v>17</v>
      </c>
      <c r="G9" s="10" t="s">
        <v>18</v>
      </c>
      <c r="H9" s="28"/>
      <c r="I9" s="28"/>
      <c r="J9" s="28"/>
      <c r="K9" s="28"/>
    </row>
    <row r="10" spans="1:11" ht="38.25">
      <c r="A10" s="4">
        <v>5</v>
      </c>
      <c r="B10" s="6">
        <v>55</v>
      </c>
      <c r="C10" s="7">
        <v>24</v>
      </c>
      <c r="D10" s="28"/>
      <c r="E10" s="4" t="s">
        <v>19</v>
      </c>
      <c r="F10" s="12">
        <v>0.80400000000000005</v>
      </c>
      <c r="G10" s="10" t="s">
        <v>20</v>
      </c>
      <c r="H10" s="28"/>
      <c r="I10" s="28"/>
      <c r="J10" s="28"/>
      <c r="K10" s="28"/>
    </row>
    <row r="11" spans="1:11">
      <c r="A11" s="4">
        <v>6</v>
      </c>
      <c r="B11" s="6">
        <v>80</v>
      </c>
      <c r="C11" s="7">
        <v>28</v>
      </c>
      <c r="D11" s="28"/>
      <c r="E11" s="4" t="s">
        <v>21</v>
      </c>
      <c r="F11" s="12">
        <v>0.9224</v>
      </c>
      <c r="G11" s="10" t="s">
        <v>22</v>
      </c>
      <c r="H11" s="28"/>
      <c r="I11" s="28"/>
      <c r="J11" s="28"/>
      <c r="K11" s="28"/>
    </row>
    <row r="12" spans="1:11" ht="38.25">
      <c r="A12" s="4">
        <v>7</v>
      </c>
      <c r="B12" s="6">
        <v>95</v>
      </c>
      <c r="C12" s="7">
        <v>32</v>
      </c>
      <c r="D12" s="28"/>
      <c r="E12" s="4" t="s">
        <v>23</v>
      </c>
      <c r="F12" s="12">
        <v>0.85089999999999999</v>
      </c>
      <c r="G12" s="10" t="s">
        <v>24</v>
      </c>
      <c r="H12" s="28"/>
      <c r="I12" s="28"/>
      <c r="J12" s="28"/>
      <c r="K12" s="28"/>
    </row>
    <row r="13" spans="1:11" ht="25.5">
      <c r="A13" s="4">
        <v>8</v>
      </c>
      <c r="B13" s="6">
        <v>70</v>
      </c>
      <c r="C13" s="7">
        <v>20.9</v>
      </c>
      <c r="D13" s="28"/>
      <c r="E13" s="4" t="s">
        <v>25</v>
      </c>
      <c r="F13" s="12" t="s">
        <v>26</v>
      </c>
      <c r="G13" s="10" t="s">
        <v>27</v>
      </c>
      <c r="H13" s="28"/>
      <c r="I13" s="28"/>
      <c r="J13" s="28"/>
      <c r="K13" s="28"/>
    </row>
    <row r="14" spans="1:11" ht="25.5">
      <c r="A14" s="4">
        <v>9</v>
      </c>
      <c r="B14" s="6">
        <v>48</v>
      </c>
      <c r="C14" s="7">
        <v>22</v>
      </c>
      <c r="D14" s="28"/>
      <c r="E14" s="4" t="s">
        <v>28</v>
      </c>
      <c r="F14" s="12">
        <v>74.16</v>
      </c>
      <c r="G14" s="10" t="s">
        <v>29</v>
      </c>
      <c r="H14" s="28"/>
      <c r="I14" s="28"/>
      <c r="J14" s="28"/>
      <c r="K14" s="28"/>
    </row>
    <row r="15" spans="1:11" ht="25.5">
      <c r="A15" s="4">
        <v>10</v>
      </c>
      <c r="B15" s="6">
        <v>53</v>
      </c>
      <c r="C15" s="7">
        <v>21.5</v>
      </c>
      <c r="D15" s="28"/>
      <c r="E15" s="4" t="s">
        <v>30</v>
      </c>
      <c r="F15" s="14">
        <v>78.8</v>
      </c>
      <c r="G15" s="10" t="s">
        <v>31</v>
      </c>
      <c r="H15" s="28"/>
      <c r="I15" s="28"/>
      <c r="J15" s="28"/>
      <c r="K15" s="28"/>
    </row>
    <row r="16" spans="1:11" ht="25.5">
      <c r="A16" s="4">
        <v>11</v>
      </c>
      <c r="B16" s="6">
        <v>95</v>
      </c>
      <c r="C16" s="7">
        <v>32</v>
      </c>
      <c r="D16" s="28"/>
      <c r="E16" s="4" t="s">
        <v>32</v>
      </c>
      <c r="F16" s="14">
        <v>28.51</v>
      </c>
      <c r="G16" s="10" t="s">
        <v>33</v>
      </c>
      <c r="H16" s="28"/>
      <c r="I16" s="28"/>
      <c r="J16" s="28"/>
      <c r="K16" s="28"/>
    </row>
    <row r="17" spans="1:11">
      <c r="A17" s="4">
        <v>12</v>
      </c>
      <c r="B17" s="6">
        <v>75</v>
      </c>
      <c r="C17" s="7">
        <v>35</v>
      </c>
      <c r="D17" s="28"/>
      <c r="E17" s="5"/>
      <c r="F17" s="15"/>
      <c r="G17" s="11"/>
      <c r="H17" s="28"/>
      <c r="I17" s="28"/>
      <c r="J17" s="28"/>
      <c r="K17" s="28"/>
    </row>
    <row r="18" spans="1:11">
      <c r="A18" s="4">
        <v>13</v>
      </c>
      <c r="B18" s="6">
        <v>63</v>
      </c>
      <c r="C18" s="7">
        <v>24</v>
      </c>
      <c r="D18" s="28"/>
      <c r="E18" s="28"/>
      <c r="F18" s="28"/>
      <c r="G18" s="28"/>
      <c r="H18" s="28"/>
      <c r="I18" s="28"/>
      <c r="J18" s="28"/>
      <c r="K18" s="28"/>
    </row>
    <row r="19" spans="1:11">
      <c r="A19" s="4">
        <v>14</v>
      </c>
      <c r="B19" s="6">
        <v>112</v>
      </c>
      <c r="C19" s="7">
        <v>37.9</v>
      </c>
      <c r="D19" s="28"/>
      <c r="E19" s="28"/>
      <c r="F19" s="28"/>
      <c r="G19" s="28"/>
      <c r="H19" s="28"/>
      <c r="I19" s="28"/>
      <c r="J19" s="28"/>
      <c r="K19" s="28"/>
    </row>
    <row r="20" spans="1:11">
      <c r="A20" s="5">
        <v>15</v>
      </c>
      <c r="B20" s="8">
        <v>70</v>
      </c>
      <c r="C20" s="9">
        <v>27.5</v>
      </c>
      <c r="D20" s="28"/>
      <c r="E20" s="28"/>
      <c r="F20" s="28"/>
      <c r="G20" s="28"/>
      <c r="H20" s="28"/>
      <c r="I20" s="28"/>
      <c r="J20" s="28"/>
      <c r="K20" s="28"/>
    </row>
    <row r="21" spans="1:1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</row>
    <row r="22" spans="1:11" ht="15">
      <c r="A22" s="31" t="s">
        <v>34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</row>
    <row r="23" spans="1:11" ht="15">
      <c r="A23" s="1" t="s">
        <v>3</v>
      </c>
      <c r="B23" s="2" t="s">
        <v>4</v>
      </c>
      <c r="C23" s="2" t="s">
        <v>5</v>
      </c>
      <c r="D23" s="2" t="s">
        <v>35</v>
      </c>
      <c r="E23" s="2" t="s">
        <v>36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41</v>
      </c>
      <c r="K23" s="3" t="s">
        <v>42</v>
      </c>
    </row>
    <row r="24" spans="1:11">
      <c r="A24" s="21">
        <f t="shared" ref="A24:C38" si="0">A6</f>
        <v>1</v>
      </c>
      <c r="B24" s="12">
        <f t="shared" si="0"/>
        <v>33</v>
      </c>
      <c r="C24" s="12">
        <f t="shared" si="0"/>
        <v>13.8</v>
      </c>
      <c r="D24" s="12">
        <f t="shared" ref="D24:D38" si="1">B24^2</f>
        <v>1089</v>
      </c>
      <c r="E24" s="12">
        <f t="shared" ref="E24:E38" si="2">C24^2</f>
        <v>190.44000000000003</v>
      </c>
      <c r="F24" s="12">
        <f t="shared" ref="F24:F38" si="3">B24*C24</f>
        <v>455.40000000000003</v>
      </c>
      <c r="G24" s="12">
        <f t="shared" ref="G24:G38" si="4">$F$6+$F$7*B24</f>
        <v>14.713240000000001</v>
      </c>
      <c r="H24" s="12">
        <f t="shared" ref="H24:H38" si="5">C24-G24</f>
        <v>-0.91324000000000005</v>
      </c>
      <c r="I24" s="12">
        <f t="shared" ref="I24:I38" si="6">H24^2</f>
        <v>0.83400729760000014</v>
      </c>
      <c r="J24" s="12">
        <f t="shared" ref="J24:J38" si="7">ABS(H24/C24)</f>
        <v>6.6176811594202897E-2</v>
      </c>
      <c r="K24" s="16">
        <f t="shared" ref="K24:K38" si="8">(B24-$B$40)^2</f>
        <v>1067.1111111111113</v>
      </c>
    </row>
    <row r="25" spans="1:11">
      <c r="A25" s="21">
        <f t="shared" si="0"/>
        <v>2</v>
      </c>
      <c r="B25" s="12">
        <f t="shared" si="0"/>
        <v>40</v>
      </c>
      <c r="C25" s="12">
        <f t="shared" si="0"/>
        <v>13.8</v>
      </c>
      <c r="D25" s="12">
        <f t="shared" si="1"/>
        <v>1600</v>
      </c>
      <c r="E25" s="12">
        <f t="shared" si="2"/>
        <v>190.44000000000003</v>
      </c>
      <c r="F25" s="12">
        <f t="shared" si="3"/>
        <v>552</v>
      </c>
      <c r="G25" s="12">
        <f t="shared" si="4"/>
        <v>16.8215</v>
      </c>
      <c r="H25" s="12">
        <f t="shared" si="5"/>
        <v>-3.0214999999999996</v>
      </c>
      <c r="I25" s="12">
        <f t="shared" si="6"/>
        <v>9.1294622499999978</v>
      </c>
      <c r="J25" s="12">
        <f t="shared" si="7"/>
        <v>0.21894927536231881</v>
      </c>
      <c r="K25" s="16">
        <f t="shared" si="8"/>
        <v>658.77777777777806</v>
      </c>
    </row>
    <row r="26" spans="1:11">
      <c r="A26" s="21">
        <f t="shared" si="0"/>
        <v>3</v>
      </c>
      <c r="B26" s="12">
        <f t="shared" si="0"/>
        <v>36</v>
      </c>
      <c r="C26" s="12">
        <f t="shared" si="0"/>
        <v>14</v>
      </c>
      <c r="D26" s="12">
        <f t="shared" si="1"/>
        <v>1296</v>
      </c>
      <c r="E26" s="12">
        <f t="shared" si="2"/>
        <v>196</v>
      </c>
      <c r="F26" s="12">
        <f t="shared" si="3"/>
        <v>504</v>
      </c>
      <c r="G26" s="12">
        <f t="shared" si="4"/>
        <v>15.61678</v>
      </c>
      <c r="H26" s="12">
        <f t="shared" si="5"/>
        <v>-1.6167800000000003</v>
      </c>
      <c r="I26" s="12">
        <f t="shared" si="6"/>
        <v>2.6139775684000011</v>
      </c>
      <c r="J26" s="12">
        <f t="shared" si="7"/>
        <v>0.11548428571428573</v>
      </c>
      <c r="K26" s="16">
        <f t="shared" si="8"/>
        <v>880.11111111111143</v>
      </c>
    </row>
    <row r="27" spans="1:11">
      <c r="A27" s="21">
        <f t="shared" si="0"/>
        <v>4</v>
      </c>
      <c r="B27" s="12">
        <f t="shared" si="0"/>
        <v>60</v>
      </c>
      <c r="C27" s="12">
        <f t="shared" si="0"/>
        <v>22.5</v>
      </c>
      <c r="D27" s="12">
        <f t="shared" si="1"/>
        <v>3600</v>
      </c>
      <c r="E27" s="12">
        <f t="shared" si="2"/>
        <v>506.25</v>
      </c>
      <c r="F27" s="12">
        <f t="shared" si="3"/>
        <v>1350</v>
      </c>
      <c r="G27" s="12">
        <f t="shared" si="4"/>
        <v>22.845099999999999</v>
      </c>
      <c r="H27" s="12">
        <f t="shared" si="5"/>
        <v>-0.34509999999999863</v>
      </c>
      <c r="I27" s="12">
        <f t="shared" si="6"/>
        <v>0.11909400999999906</v>
      </c>
      <c r="J27" s="12">
        <f t="shared" si="7"/>
        <v>1.5337777777777718E-2</v>
      </c>
      <c r="K27" s="16">
        <f t="shared" si="8"/>
        <v>32.111111111111164</v>
      </c>
    </row>
    <row r="28" spans="1:11">
      <c r="A28" s="21">
        <f t="shared" si="0"/>
        <v>5</v>
      </c>
      <c r="B28" s="12">
        <f t="shared" si="0"/>
        <v>55</v>
      </c>
      <c r="C28" s="12">
        <f t="shared" si="0"/>
        <v>24</v>
      </c>
      <c r="D28" s="12">
        <f t="shared" si="1"/>
        <v>3025</v>
      </c>
      <c r="E28" s="12">
        <f t="shared" si="2"/>
        <v>576</v>
      </c>
      <c r="F28" s="12">
        <f t="shared" si="3"/>
        <v>1320</v>
      </c>
      <c r="G28" s="12">
        <f t="shared" si="4"/>
        <v>21.339200000000002</v>
      </c>
      <c r="H28" s="12">
        <f t="shared" si="5"/>
        <v>2.6607999999999983</v>
      </c>
      <c r="I28" s="12">
        <f t="shared" si="6"/>
        <v>7.0798566399999912</v>
      </c>
      <c r="J28" s="12">
        <f t="shared" si="7"/>
        <v>0.1108666666666666</v>
      </c>
      <c r="K28" s="16">
        <f t="shared" si="8"/>
        <v>113.77777777777789</v>
      </c>
    </row>
    <row r="29" spans="1:11">
      <c r="A29" s="21">
        <f t="shared" si="0"/>
        <v>6</v>
      </c>
      <c r="B29" s="12">
        <f t="shared" si="0"/>
        <v>80</v>
      </c>
      <c r="C29" s="12">
        <f t="shared" si="0"/>
        <v>28</v>
      </c>
      <c r="D29" s="12">
        <f t="shared" si="1"/>
        <v>6400</v>
      </c>
      <c r="E29" s="12">
        <f t="shared" si="2"/>
        <v>784</v>
      </c>
      <c r="F29" s="12">
        <f t="shared" si="3"/>
        <v>2240</v>
      </c>
      <c r="G29" s="12">
        <f t="shared" si="4"/>
        <v>28.8687</v>
      </c>
      <c r="H29" s="12">
        <f t="shared" si="5"/>
        <v>-0.86870000000000047</v>
      </c>
      <c r="I29" s="12">
        <f t="shared" si="6"/>
        <v>0.75463969000000086</v>
      </c>
      <c r="J29" s="12">
        <f t="shared" si="7"/>
        <v>3.1025000000000018E-2</v>
      </c>
      <c r="K29" s="16">
        <f t="shared" si="8"/>
        <v>205.44444444444431</v>
      </c>
    </row>
    <row r="30" spans="1:11">
      <c r="A30" s="21">
        <f t="shared" si="0"/>
        <v>7</v>
      </c>
      <c r="B30" s="12">
        <f t="shared" si="0"/>
        <v>95</v>
      </c>
      <c r="C30" s="12">
        <f t="shared" si="0"/>
        <v>32</v>
      </c>
      <c r="D30" s="12">
        <f t="shared" si="1"/>
        <v>9025</v>
      </c>
      <c r="E30" s="12">
        <f t="shared" si="2"/>
        <v>1024</v>
      </c>
      <c r="F30" s="12">
        <f t="shared" si="3"/>
        <v>3040</v>
      </c>
      <c r="G30" s="12">
        <f t="shared" si="4"/>
        <v>33.386400000000002</v>
      </c>
      <c r="H30" s="12">
        <f t="shared" si="5"/>
        <v>-1.3864000000000019</v>
      </c>
      <c r="I30" s="12">
        <f t="shared" si="6"/>
        <v>1.9221049600000051</v>
      </c>
      <c r="J30" s="12">
        <f t="shared" si="7"/>
        <v>4.3325000000000058E-2</v>
      </c>
      <c r="K30" s="16">
        <f t="shared" si="8"/>
        <v>860.44444444444412</v>
      </c>
    </row>
    <row r="31" spans="1:11">
      <c r="A31" s="21">
        <f t="shared" si="0"/>
        <v>8</v>
      </c>
      <c r="B31" s="12">
        <f t="shared" si="0"/>
        <v>70</v>
      </c>
      <c r="C31" s="12">
        <f t="shared" si="0"/>
        <v>20.9</v>
      </c>
      <c r="D31" s="12">
        <f t="shared" si="1"/>
        <v>4900</v>
      </c>
      <c r="E31" s="12">
        <f t="shared" si="2"/>
        <v>436.80999999999995</v>
      </c>
      <c r="F31" s="12">
        <f t="shared" si="3"/>
        <v>1463</v>
      </c>
      <c r="G31" s="12">
        <f t="shared" si="4"/>
        <v>25.8569</v>
      </c>
      <c r="H31" s="12">
        <f t="shared" si="5"/>
        <v>-4.956900000000001</v>
      </c>
      <c r="I31" s="12">
        <f t="shared" si="6"/>
        <v>24.570857610000008</v>
      </c>
      <c r="J31" s="12">
        <f t="shared" si="7"/>
        <v>0.23717224880382781</v>
      </c>
      <c r="K31" s="16">
        <f t="shared" si="8"/>
        <v>18.777777777777736</v>
      </c>
    </row>
    <row r="32" spans="1:11">
      <c r="A32" s="21">
        <f t="shared" si="0"/>
        <v>9</v>
      </c>
      <c r="B32" s="12">
        <f t="shared" si="0"/>
        <v>48</v>
      </c>
      <c r="C32" s="12">
        <f t="shared" si="0"/>
        <v>22</v>
      </c>
      <c r="D32" s="12">
        <f t="shared" si="1"/>
        <v>2304</v>
      </c>
      <c r="E32" s="12">
        <f t="shared" si="2"/>
        <v>484</v>
      </c>
      <c r="F32" s="12">
        <f t="shared" si="3"/>
        <v>1056</v>
      </c>
      <c r="G32" s="12">
        <f t="shared" si="4"/>
        <v>19.23094</v>
      </c>
      <c r="H32" s="12">
        <f t="shared" si="5"/>
        <v>2.7690599999999996</v>
      </c>
      <c r="I32" s="12">
        <f t="shared" si="6"/>
        <v>7.6676932835999976</v>
      </c>
      <c r="J32" s="12">
        <f t="shared" si="7"/>
        <v>0.12586636363636361</v>
      </c>
      <c r="K32" s="16">
        <f t="shared" si="8"/>
        <v>312.11111111111126</v>
      </c>
    </row>
    <row r="33" spans="1:11">
      <c r="A33" s="21">
        <f t="shared" si="0"/>
        <v>10</v>
      </c>
      <c r="B33" s="12">
        <f t="shared" si="0"/>
        <v>53</v>
      </c>
      <c r="C33" s="12">
        <f t="shared" si="0"/>
        <v>21.5</v>
      </c>
      <c r="D33" s="12">
        <f t="shared" si="1"/>
        <v>2809</v>
      </c>
      <c r="E33" s="12">
        <f t="shared" si="2"/>
        <v>462.25</v>
      </c>
      <c r="F33" s="12">
        <f t="shared" si="3"/>
        <v>1139.5</v>
      </c>
      <c r="G33" s="12">
        <f t="shared" si="4"/>
        <v>20.736840000000001</v>
      </c>
      <c r="H33" s="12">
        <f t="shared" si="5"/>
        <v>0.76315999999999917</v>
      </c>
      <c r="I33" s="12">
        <f t="shared" si="6"/>
        <v>0.58241318559999877</v>
      </c>
      <c r="J33" s="12">
        <f t="shared" si="7"/>
        <v>3.5495813953488331E-2</v>
      </c>
      <c r="K33" s="16">
        <f t="shared" si="8"/>
        <v>160.44444444444457</v>
      </c>
    </row>
    <row r="34" spans="1:11">
      <c r="A34" s="21">
        <f t="shared" si="0"/>
        <v>11</v>
      </c>
      <c r="B34" s="12">
        <f t="shared" si="0"/>
        <v>95</v>
      </c>
      <c r="C34" s="12">
        <f t="shared" si="0"/>
        <v>32</v>
      </c>
      <c r="D34" s="12">
        <f t="shared" si="1"/>
        <v>9025</v>
      </c>
      <c r="E34" s="12">
        <f t="shared" si="2"/>
        <v>1024</v>
      </c>
      <c r="F34" s="12">
        <f t="shared" si="3"/>
        <v>3040</v>
      </c>
      <c r="G34" s="12">
        <f t="shared" si="4"/>
        <v>33.386400000000002</v>
      </c>
      <c r="H34" s="12">
        <f t="shared" si="5"/>
        <v>-1.3864000000000019</v>
      </c>
      <c r="I34" s="12">
        <f t="shared" si="6"/>
        <v>1.9221049600000051</v>
      </c>
      <c r="J34" s="12">
        <f t="shared" si="7"/>
        <v>4.3325000000000058E-2</v>
      </c>
      <c r="K34" s="16">
        <f t="shared" si="8"/>
        <v>860.44444444444412</v>
      </c>
    </row>
    <row r="35" spans="1:11">
      <c r="A35" s="21">
        <f t="shared" si="0"/>
        <v>12</v>
      </c>
      <c r="B35" s="12">
        <f t="shared" si="0"/>
        <v>75</v>
      </c>
      <c r="C35" s="12">
        <f t="shared" si="0"/>
        <v>35</v>
      </c>
      <c r="D35" s="12">
        <f t="shared" si="1"/>
        <v>5625</v>
      </c>
      <c r="E35" s="12">
        <f t="shared" si="2"/>
        <v>1225</v>
      </c>
      <c r="F35" s="12">
        <f t="shared" si="3"/>
        <v>2625</v>
      </c>
      <c r="G35" s="12">
        <f t="shared" si="4"/>
        <v>27.3628</v>
      </c>
      <c r="H35" s="12">
        <f t="shared" si="5"/>
        <v>7.6372</v>
      </c>
      <c r="I35" s="12">
        <f t="shared" si="6"/>
        <v>58.326823840000003</v>
      </c>
      <c r="J35" s="12">
        <f t="shared" si="7"/>
        <v>0.21820571428571428</v>
      </c>
      <c r="K35" s="16">
        <f t="shared" si="8"/>
        <v>87.111111111111029</v>
      </c>
    </row>
    <row r="36" spans="1:11">
      <c r="A36" s="21">
        <f t="shared" si="0"/>
        <v>13</v>
      </c>
      <c r="B36" s="12">
        <f t="shared" si="0"/>
        <v>63</v>
      </c>
      <c r="C36" s="12">
        <f t="shared" si="0"/>
        <v>24</v>
      </c>
      <c r="D36" s="12">
        <f t="shared" si="1"/>
        <v>3969</v>
      </c>
      <c r="E36" s="12">
        <f t="shared" si="2"/>
        <v>576</v>
      </c>
      <c r="F36" s="12">
        <f t="shared" si="3"/>
        <v>1512</v>
      </c>
      <c r="G36" s="12">
        <f t="shared" si="4"/>
        <v>23.748640000000002</v>
      </c>
      <c r="H36" s="12">
        <f t="shared" si="5"/>
        <v>0.25135999999999825</v>
      </c>
      <c r="I36" s="12">
        <f t="shared" si="6"/>
        <v>6.3181849599999118E-2</v>
      </c>
      <c r="J36" s="12">
        <f t="shared" si="7"/>
        <v>1.047333333333326E-2</v>
      </c>
      <c r="K36" s="16">
        <f t="shared" si="8"/>
        <v>7.1111111111111365</v>
      </c>
    </row>
    <row r="37" spans="1:11">
      <c r="A37" s="21">
        <f t="shared" si="0"/>
        <v>14</v>
      </c>
      <c r="B37" s="12">
        <f t="shared" si="0"/>
        <v>112</v>
      </c>
      <c r="C37" s="12">
        <f t="shared" si="0"/>
        <v>37.9</v>
      </c>
      <c r="D37" s="12">
        <f t="shared" si="1"/>
        <v>12544</v>
      </c>
      <c r="E37" s="12">
        <f t="shared" si="2"/>
        <v>1436.4099999999999</v>
      </c>
      <c r="F37" s="12">
        <f t="shared" si="3"/>
        <v>4244.8</v>
      </c>
      <c r="G37" s="12">
        <f t="shared" si="4"/>
        <v>38.506460000000004</v>
      </c>
      <c r="H37" s="12">
        <f t="shared" si="5"/>
        <v>-0.60646000000000555</v>
      </c>
      <c r="I37" s="12">
        <f t="shared" si="6"/>
        <v>0.36779373160000672</v>
      </c>
      <c r="J37" s="12">
        <f t="shared" si="7"/>
        <v>1.6001583113456612E-2</v>
      </c>
      <c r="K37" s="16">
        <f t="shared" si="8"/>
        <v>2146.7777777777774</v>
      </c>
    </row>
    <row r="38" spans="1:11">
      <c r="A38" s="21">
        <f t="shared" si="0"/>
        <v>15</v>
      </c>
      <c r="B38" s="12">
        <f t="shared" si="0"/>
        <v>70</v>
      </c>
      <c r="C38" s="12">
        <f t="shared" si="0"/>
        <v>27.5</v>
      </c>
      <c r="D38" s="12">
        <f t="shared" si="1"/>
        <v>4900</v>
      </c>
      <c r="E38" s="12">
        <f t="shared" si="2"/>
        <v>756.25</v>
      </c>
      <c r="F38" s="12">
        <f t="shared" si="3"/>
        <v>1925</v>
      </c>
      <c r="G38" s="12">
        <f t="shared" si="4"/>
        <v>25.8569</v>
      </c>
      <c r="H38" s="12">
        <f t="shared" si="5"/>
        <v>1.6431000000000004</v>
      </c>
      <c r="I38" s="12">
        <f t="shared" si="6"/>
        <v>2.6997776100000013</v>
      </c>
      <c r="J38" s="12">
        <f t="shared" si="7"/>
        <v>5.9749090909090925E-2</v>
      </c>
      <c r="K38" s="16">
        <f t="shared" si="8"/>
        <v>18.777777777777736</v>
      </c>
    </row>
    <row r="39" spans="1:11">
      <c r="A39" s="22" t="s">
        <v>43</v>
      </c>
      <c r="B39" s="17">
        <f>SUM(B24:B38)</f>
        <v>985</v>
      </c>
      <c r="C39" s="17">
        <f>SUM(C24:C38)</f>
        <v>368.9</v>
      </c>
      <c r="D39" s="17">
        <f>SUM(D24:D38)</f>
        <v>72111</v>
      </c>
      <c r="E39" s="17">
        <f>SUM(E24:E38)</f>
        <v>9867.85</v>
      </c>
      <c r="F39" s="17">
        <f>SUM(F24:F38)</f>
        <v>26466.7</v>
      </c>
      <c r="G39" s="17"/>
      <c r="H39" s="17">
        <f>SUM(H24:H38)</f>
        <v>0.62319999999998643</v>
      </c>
      <c r="I39" s="17">
        <f>SUM(I24:I38)</f>
        <v>118.6537884864</v>
      </c>
      <c r="J39" s="17">
        <f>SUM(J24:J38)</f>
        <v>1.3474539651505268</v>
      </c>
      <c r="K39" s="18">
        <f>SUM(K24:K38)</f>
        <v>7429.333333333333</v>
      </c>
    </row>
    <row r="40" spans="1:11">
      <c r="A40" s="23" t="s">
        <v>44</v>
      </c>
      <c r="B40" s="19">
        <f>AVERAGE(B24:B38)</f>
        <v>65.666666666666671</v>
      </c>
      <c r="C40" s="19">
        <f>AVERAGE(C24:C38)</f>
        <v>24.59333333333333</v>
      </c>
      <c r="D40" s="19">
        <f>AVERAGE(D24:D38)</f>
        <v>4807.3999999999996</v>
      </c>
      <c r="E40" s="19">
        <f>AVERAGE(E24:E38)</f>
        <v>657.85666666666668</v>
      </c>
      <c r="F40" s="19">
        <f>AVERAGE(F24:F38)</f>
        <v>1764.4466666666667</v>
      </c>
      <c r="G40" s="19"/>
      <c r="H40" s="19"/>
      <c r="I40" s="19"/>
      <c r="J40" s="19">
        <f>AVERAGE(J24:J38)</f>
        <v>8.9830264343368452E-2</v>
      </c>
      <c r="K40" s="20"/>
    </row>
    <row r="41" spans="1:1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</row>
    <row r="42" spans="1:11">
      <c r="A42" s="33" t="s">
        <v>45</v>
      </c>
      <c r="B42" s="34"/>
      <c r="C42" s="34"/>
      <c r="D42" s="34"/>
      <c r="E42" s="34"/>
      <c r="F42" s="34"/>
      <c r="G42" s="34"/>
      <c r="H42" s="34"/>
      <c r="I42" s="34"/>
      <c r="J42" s="34"/>
      <c r="K42" s="35"/>
    </row>
    <row r="43" spans="1:11">
      <c r="A43" s="36"/>
      <c r="B43" s="37"/>
      <c r="C43" s="37"/>
      <c r="D43" s="37"/>
      <c r="E43" s="37"/>
      <c r="F43" s="37"/>
      <c r="G43" s="37"/>
      <c r="H43" s="37"/>
      <c r="I43" s="37"/>
      <c r="J43" s="37"/>
      <c r="K43" s="38"/>
    </row>
    <row r="44" spans="1:11">
      <c r="A44" s="39"/>
      <c r="B44" s="40"/>
      <c r="C44" s="40"/>
      <c r="D44" s="40"/>
      <c r="E44" s="40"/>
      <c r="F44" s="40"/>
      <c r="G44" s="40"/>
      <c r="H44" s="40"/>
      <c r="I44" s="40"/>
      <c r="J44" s="40"/>
      <c r="K44" s="41"/>
    </row>
  </sheetData>
  <mergeCells count="6">
    <mergeCell ref="A42:K44"/>
    <mergeCell ref="A1:K1"/>
    <mergeCell ref="A2:K2"/>
    <mergeCell ref="A4:C4"/>
    <mergeCell ref="E4:K4"/>
    <mergeCell ref="A22:K22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4"/>
  <sheetViews>
    <sheetView tabSelected="1" topLeftCell="A19" workbookViewId="0">
      <selection sqref="A1:J1"/>
    </sheetView>
  </sheetViews>
  <sheetFormatPr defaultRowHeight="14.25"/>
  <cols>
    <col min="1" max="1" width="8" customWidth="1"/>
    <col min="2" max="2" width="10" customWidth="1"/>
    <col min="3" max="3" width="12" customWidth="1"/>
    <col min="4" max="4" width="14" customWidth="1"/>
    <col min="5" max="6" width="12" customWidth="1"/>
    <col min="7" max="7" width="32" customWidth="1"/>
    <col min="8" max="10" width="14" customWidth="1"/>
  </cols>
  <sheetData>
    <row r="1" spans="1:11" ht="27.95" customHeight="1">
      <c r="A1" s="29" t="s">
        <v>46</v>
      </c>
      <c r="B1" s="29"/>
      <c r="C1" s="29"/>
      <c r="D1" s="29"/>
      <c r="E1" s="29"/>
      <c r="F1" s="29"/>
      <c r="G1" s="29"/>
      <c r="H1" s="29"/>
      <c r="I1" s="29"/>
      <c r="J1" s="29"/>
      <c r="K1" s="28"/>
    </row>
    <row r="2" spans="1:11" ht="24" customHeight="1">
      <c r="A2" s="30" t="s">
        <v>47</v>
      </c>
      <c r="B2" s="30"/>
      <c r="C2" s="30"/>
      <c r="D2" s="30"/>
      <c r="E2" s="30"/>
      <c r="F2" s="30"/>
      <c r="G2" s="30"/>
      <c r="H2" s="30"/>
      <c r="I2" s="30"/>
      <c r="J2" s="30"/>
      <c r="K2" s="28"/>
    </row>
    <row r="3" spans="1:11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 ht="15">
      <c r="A4" s="31" t="s">
        <v>1</v>
      </c>
      <c r="B4" s="31"/>
      <c r="C4" s="31"/>
      <c r="D4" s="28"/>
      <c r="E4" s="32" t="s">
        <v>48</v>
      </c>
      <c r="F4" s="32"/>
      <c r="G4" s="32"/>
      <c r="H4" s="32"/>
      <c r="I4" s="32"/>
      <c r="J4" s="32"/>
      <c r="K4" s="28"/>
    </row>
    <row r="5" spans="1:11" ht="15">
      <c r="A5" s="1" t="s">
        <v>3</v>
      </c>
      <c r="B5" s="2" t="s">
        <v>49</v>
      </c>
      <c r="C5" s="3" t="s">
        <v>50</v>
      </c>
      <c r="D5" s="28"/>
      <c r="E5" s="1" t="s">
        <v>6</v>
      </c>
      <c r="F5" s="2" t="s">
        <v>7</v>
      </c>
      <c r="G5" s="3" t="s">
        <v>8</v>
      </c>
      <c r="H5" s="28"/>
      <c r="I5" s="28"/>
      <c r="J5" s="28"/>
      <c r="K5" s="28"/>
    </row>
    <row r="6" spans="1:11" ht="25.5">
      <c r="A6" s="4">
        <v>1</v>
      </c>
      <c r="B6" s="24">
        <v>1</v>
      </c>
      <c r="C6" s="25">
        <v>8.4529999999999994</v>
      </c>
      <c r="D6" s="28"/>
      <c r="E6" s="4" t="s">
        <v>51</v>
      </c>
      <c r="F6" s="12">
        <v>2.3189000000000002</v>
      </c>
      <c r="G6" s="10" t="s">
        <v>52</v>
      </c>
      <c r="H6" s="28"/>
      <c r="I6" s="28"/>
      <c r="J6" s="28"/>
      <c r="K6" s="28"/>
    </row>
    <row r="7" spans="1:11" ht="25.5">
      <c r="A7" s="4">
        <v>2</v>
      </c>
      <c r="B7" s="24">
        <v>2</v>
      </c>
      <c r="C7" s="25">
        <v>7.6660000000000004</v>
      </c>
      <c r="D7" s="28"/>
      <c r="E7" s="4" t="s">
        <v>53</v>
      </c>
      <c r="F7" s="12">
        <v>-0.23080000000000001</v>
      </c>
      <c r="G7" s="10" t="s">
        <v>54</v>
      </c>
      <c r="H7" s="28"/>
      <c r="I7" s="28"/>
      <c r="J7" s="28"/>
      <c r="K7" s="28"/>
    </row>
    <row r="8" spans="1:11" ht="25.5">
      <c r="A8" s="4">
        <v>3</v>
      </c>
      <c r="B8" s="24">
        <v>3</v>
      </c>
      <c r="C8" s="25">
        <v>5.0469999999999997</v>
      </c>
      <c r="D8" s="28"/>
      <c r="E8" s="4" t="s">
        <v>55</v>
      </c>
      <c r="F8" s="12">
        <v>10.164300000000001</v>
      </c>
      <c r="G8" s="10" t="s">
        <v>56</v>
      </c>
      <c r="H8" s="28"/>
      <c r="I8" s="28"/>
      <c r="J8" s="28"/>
      <c r="K8" s="28"/>
    </row>
    <row r="9" spans="1:11" ht="25.5">
      <c r="A9" s="4">
        <v>4</v>
      </c>
      <c r="B9" s="24">
        <v>4</v>
      </c>
      <c r="C9" s="25">
        <v>3.6280000000000001</v>
      </c>
      <c r="D9" s="28"/>
      <c r="E9" s="4" t="s">
        <v>13</v>
      </c>
      <c r="F9" s="12" t="s">
        <v>57</v>
      </c>
      <c r="G9" s="10" t="s">
        <v>58</v>
      </c>
      <c r="H9" s="28"/>
      <c r="I9" s="28"/>
      <c r="J9" s="28"/>
      <c r="K9" s="28"/>
    </row>
    <row r="10" spans="1:11">
      <c r="A10" s="4">
        <v>5</v>
      </c>
      <c r="B10" s="24">
        <v>5</v>
      </c>
      <c r="C10" s="25">
        <v>3.464</v>
      </c>
      <c r="D10" s="28"/>
      <c r="E10" s="4" t="s">
        <v>59</v>
      </c>
      <c r="F10" s="12">
        <v>2.29E-2</v>
      </c>
      <c r="G10" s="10" t="s">
        <v>60</v>
      </c>
      <c r="H10" s="28"/>
      <c r="I10" s="28"/>
      <c r="J10" s="28"/>
      <c r="K10" s="28"/>
    </row>
    <row r="11" spans="1:11" ht="25.5">
      <c r="A11" s="4">
        <v>6</v>
      </c>
      <c r="B11" s="24">
        <v>6</v>
      </c>
      <c r="C11" s="25">
        <v>2.4340000000000002</v>
      </c>
      <c r="D11" s="28"/>
      <c r="E11" s="4" t="s">
        <v>61</v>
      </c>
      <c r="F11" s="12">
        <v>0.15129999999999999</v>
      </c>
      <c r="G11" s="10" t="s">
        <v>62</v>
      </c>
      <c r="H11" s="28"/>
      <c r="I11" s="28"/>
      <c r="J11" s="28"/>
      <c r="K11" s="28"/>
    </row>
    <row r="12" spans="1:11" ht="25.5">
      <c r="A12" s="4">
        <v>7</v>
      </c>
      <c r="B12" s="24">
        <v>7</v>
      </c>
      <c r="C12" s="25">
        <v>1.905</v>
      </c>
      <c r="D12" s="28"/>
      <c r="E12" s="4" t="s">
        <v>23</v>
      </c>
      <c r="F12" s="12">
        <v>0.9708</v>
      </c>
      <c r="G12" s="10" t="s">
        <v>63</v>
      </c>
      <c r="H12" s="28"/>
      <c r="I12" s="28"/>
      <c r="J12" s="28"/>
      <c r="K12" s="28"/>
    </row>
    <row r="13" spans="1:11">
      <c r="A13" s="4">
        <v>8</v>
      </c>
      <c r="B13" s="24">
        <v>8</v>
      </c>
      <c r="C13" s="25">
        <v>1.167</v>
      </c>
      <c r="D13" s="28"/>
      <c r="E13" s="4" t="s">
        <v>64</v>
      </c>
      <c r="F13" s="12">
        <v>3.206</v>
      </c>
      <c r="G13" s="10" t="s">
        <v>65</v>
      </c>
      <c r="H13" s="28"/>
      <c r="I13" s="28"/>
      <c r="J13" s="28"/>
      <c r="K13" s="28"/>
    </row>
    <row r="14" spans="1:11" ht="25.5">
      <c r="A14" s="4">
        <v>9</v>
      </c>
      <c r="B14" s="24">
        <v>9</v>
      </c>
      <c r="C14" s="25">
        <v>1.1419999999999999</v>
      </c>
      <c r="D14" s="28"/>
      <c r="E14" s="4" t="s">
        <v>66</v>
      </c>
      <c r="F14" s="12" t="s">
        <v>67</v>
      </c>
      <c r="G14" s="10" t="s">
        <v>68</v>
      </c>
      <c r="H14" s="28"/>
      <c r="I14" s="28"/>
      <c r="J14" s="28"/>
      <c r="K14" s="28"/>
    </row>
    <row r="15" spans="1:11" ht="25.5">
      <c r="A15" s="4">
        <v>10</v>
      </c>
      <c r="B15" s="24">
        <v>10</v>
      </c>
      <c r="C15" s="25">
        <v>1.028</v>
      </c>
      <c r="D15" s="28"/>
      <c r="E15" s="5" t="s">
        <v>69</v>
      </c>
      <c r="F15" s="13" t="s">
        <v>70</v>
      </c>
      <c r="G15" s="11" t="s">
        <v>71</v>
      </c>
      <c r="H15" s="28"/>
      <c r="I15" s="28"/>
      <c r="J15" s="28"/>
      <c r="K15" s="28"/>
    </row>
    <row r="16" spans="1:11">
      <c r="A16" s="4">
        <v>11</v>
      </c>
      <c r="B16" s="24">
        <v>11</v>
      </c>
      <c r="C16" s="25">
        <v>0.99199999999999999</v>
      </c>
      <c r="D16" s="28"/>
      <c r="E16" s="28"/>
      <c r="F16" s="28"/>
      <c r="G16" s="28"/>
      <c r="H16" s="28"/>
      <c r="I16" s="28"/>
      <c r="J16" s="28"/>
      <c r="K16" s="28"/>
    </row>
    <row r="17" spans="1:11">
      <c r="A17" s="5">
        <v>12</v>
      </c>
      <c r="B17" s="26">
        <v>12</v>
      </c>
      <c r="C17" s="27">
        <v>0.71499999999999997</v>
      </c>
      <c r="D17" s="28"/>
      <c r="E17" s="28"/>
      <c r="F17" s="28"/>
      <c r="G17" s="28"/>
      <c r="H17" s="28"/>
      <c r="I17" s="28"/>
      <c r="J17" s="28"/>
      <c r="K17" s="28"/>
    </row>
    <row r="18" spans="1:1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</row>
    <row r="19" spans="1:11" ht="15">
      <c r="A19" s="31" t="s">
        <v>72</v>
      </c>
      <c r="B19" s="31"/>
      <c r="C19" s="31"/>
      <c r="D19" s="31"/>
      <c r="E19" s="31"/>
      <c r="F19" s="31"/>
      <c r="G19" s="31"/>
      <c r="H19" s="31"/>
      <c r="I19" s="31"/>
      <c r="J19" s="31"/>
      <c r="K19" s="28"/>
    </row>
    <row r="20" spans="1:11" ht="15">
      <c r="A20" s="1" t="s">
        <v>3</v>
      </c>
      <c r="B20" s="2" t="s">
        <v>49</v>
      </c>
      <c r="C20" s="2" t="s">
        <v>50</v>
      </c>
      <c r="D20" s="2" t="s">
        <v>73</v>
      </c>
      <c r="E20" s="2" t="s">
        <v>74</v>
      </c>
      <c r="F20" s="2" t="s">
        <v>75</v>
      </c>
      <c r="G20" s="2" t="s">
        <v>76</v>
      </c>
      <c r="H20" s="2" t="s">
        <v>77</v>
      </c>
      <c r="I20" s="2" t="s">
        <v>78</v>
      </c>
      <c r="J20" s="3" t="s">
        <v>79</v>
      </c>
      <c r="K20" s="28"/>
    </row>
    <row r="21" spans="1:11">
      <c r="A21" s="21">
        <f t="shared" ref="A21:C32" si="0">A6</f>
        <v>1</v>
      </c>
      <c r="B21" s="12">
        <f t="shared" si="0"/>
        <v>1</v>
      </c>
      <c r="C21" s="12">
        <f t="shared" si="0"/>
        <v>8.4529999999999994</v>
      </c>
      <c r="D21" s="12">
        <f t="shared" ref="D21:D32" si="1">LN(C21)</f>
        <v>2.1345214079467905</v>
      </c>
      <c r="E21" s="12">
        <f t="shared" ref="E21:E32" si="2">B21^2</f>
        <v>1</v>
      </c>
      <c r="F21" s="12">
        <f t="shared" ref="F21:F32" si="3">D21^2</f>
        <v>4.5561816409831488</v>
      </c>
      <c r="G21" s="12">
        <f t="shared" ref="G21:G32" si="4">B21*D21</f>
        <v>2.1345214079467905</v>
      </c>
      <c r="H21" s="12">
        <f t="shared" ref="H21:H32" si="5">$F$6+$F$7*B21</f>
        <v>2.0881000000000003</v>
      </c>
      <c r="I21" s="12">
        <f t="shared" ref="I21:I32" si="6">EXP(H21)</f>
        <v>8.0695684095267382</v>
      </c>
      <c r="J21" s="16">
        <f t="shared" ref="J21:J32" si="7">(D21-H21)^2</f>
        <v>2.1549471157623137E-3</v>
      </c>
      <c r="K21" s="28"/>
    </row>
    <row r="22" spans="1:11">
      <c r="A22" s="21">
        <f t="shared" si="0"/>
        <v>2</v>
      </c>
      <c r="B22" s="12">
        <f t="shared" si="0"/>
        <v>2</v>
      </c>
      <c r="C22" s="12">
        <f t="shared" si="0"/>
        <v>7.6660000000000004</v>
      </c>
      <c r="D22" s="12">
        <f t="shared" si="1"/>
        <v>2.0367949669583636</v>
      </c>
      <c r="E22" s="12">
        <f t="shared" si="2"/>
        <v>4</v>
      </c>
      <c r="F22" s="12">
        <f t="shared" si="3"/>
        <v>4.1485337374269218</v>
      </c>
      <c r="G22" s="12">
        <f t="shared" si="4"/>
        <v>4.0735899339167272</v>
      </c>
      <c r="H22" s="12">
        <f t="shared" si="5"/>
        <v>1.8573000000000002</v>
      </c>
      <c r="I22" s="12">
        <f t="shared" si="6"/>
        <v>6.4064160756079565</v>
      </c>
      <c r="J22" s="16">
        <f t="shared" si="7"/>
        <v>3.2218443163383979E-2</v>
      </c>
      <c r="K22" s="28"/>
    </row>
    <row r="23" spans="1:11">
      <c r="A23" s="21">
        <f t="shared" si="0"/>
        <v>3</v>
      </c>
      <c r="B23" s="12">
        <f t="shared" si="0"/>
        <v>3</v>
      </c>
      <c r="C23" s="12">
        <f t="shared" si="0"/>
        <v>5.0469999999999997</v>
      </c>
      <c r="D23" s="12">
        <f t="shared" si="1"/>
        <v>1.6187940073581253</v>
      </c>
      <c r="E23" s="12">
        <f t="shared" si="2"/>
        <v>9</v>
      </c>
      <c r="F23" s="12">
        <f t="shared" si="3"/>
        <v>2.620494038258578</v>
      </c>
      <c r="G23" s="12">
        <f t="shared" si="4"/>
        <v>4.8563820220743761</v>
      </c>
      <c r="H23" s="12">
        <f t="shared" si="5"/>
        <v>1.6265000000000001</v>
      </c>
      <c r="I23" s="12">
        <f t="shared" si="6"/>
        <v>5.0860423818149503</v>
      </c>
      <c r="J23" s="16">
        <f t="shared" si="7"/>
        <v>5.9382322596628103E-5</v>
      </c>
      <c r="K23" s="28"/>
    </row>
    <row r="24" spans="1:11">
      <c r="A24" s="21">
        <f t="shared" si="0"/>
        <v>4</v>
      </c>
      <c r="B24" s="12">
        <f t="shared" si="0"/>
        <v>4</v>
      </c>
      <c r="C24" s="12">
        <f t="shared" si="0"/>
        <v>3.6280000000000001</v>
      </c>
      <c r="D24" s="12">
        <f t="shared" si="1"/>
        <v>1.2886815322528902</v>
      </c>
      <c r="E24" s="12">
        <f t="shared" si="2"/>
        <v>16</v>
      </c>
      <c r="F24" s="12">
        <f t="shared" si="3"/>
        <v>1.6607000915696568</v>
      </c>
      <c r="G24" s="12">
        <f t="shared" si="4"/>
        <v>5.1547261290115607</v>
      </c>
      <c r="H24" s="12">
        <f t="shared" si="5"/>
        <v>1.3957000000000002</v>
      </c>
      <c r="I24" s="12">
        <f t="shared" si="6"/>
        <v>4.0378000436325223</v>
      </c>
      <c r="J24" s="16">
        <f t="shared" si="7"/>
        <v>1.1452952438939221E-2</v>
      </c>
      <c r="K24" s="28"/>
    </row>
    <row r="25" spans="1:11">
      <c r="A25" s="21">
        <f t="shared" si="0"/>
        <v>5</v>
      </c>
      <c r="B25" s="12">
        <f t="shared" si="0"/>
        <v>5</v>
      </c>
      <c r="C25" s="12">
        <f t="shared" si="0"/>
        <v>3.464</v>
      </c>
      <c r="D25" s="12">
        <f t="shared" si="1"/>
        <v>1.2424239907001886</v>
      </c>
      <c r="E25" s="12">
        <f t="shared" si="2"/>
        <v>25</v>
      </c>
      <c r="F25" s="12">
        <f t="shared" si="3"/>
        <v>1.5436173726673823</v>
      </c>
      <c r="G25" s="12">
        <f t="shared" si="4"/>
        <v>6.2121199535009435</v>
      </c>
      <c r="H25" s="12">
        <f t="shared" si="5"/>
        <v>1.1649000000000003</v>
      </c>
      <c r="I25" s="12">
        <f t="shared" si="6"/>
        <v>3.2056023069435753</v>
      </c>
      <c r="J25" s="16">
        <f t="shared" si="7"/>
        <v>6.0099691340828884E-3</v>
      </c>
      <c r="K25" s="28"/>
    </row>
    <row r="26" spans="1:11">
      <c r="A26" s="21">
        <f t="shared" si="0"/>
        <v>6</v>
      </c>
      <c r="B26" s="12">
        <f t="shared" si="0"/>
        <v>6</v>
      </c>
      <c r="C26" s="12">
        <f t="shared" si="0"/>
        <v>2.4340000000000002</v>
      </c>
      <c r="D26" s="12">
        <f t="shared" si="1"/>
        <v>0.8895359945653355</v>
      </c>
      <c r="E26" s="12">
        <f t="shared" si="2"/>
        <v>36</v>
      </c>
      <c r="F26" s="12">
        <f t="shared" si="3"/>
        <v>0.79127428562734059</v>
      </c>
      <c r="G26" s="12">
        <f t="shared" si="4"/>
        <v>5.3372159673920132</v>
      </c>
      <c r="H26" s="12">
        <f t="shared" si="5"/>
        <v>0.93410000000000015</v>
      </c>
      <c r="I26" s="12">
        <f t="shared" si="6"/>
        <v>2.5449219969390766</v>
      </c>
      <c r="J26" s="16">
        <f t="shared" si="7"/>
        <v>1.9859505803808209E-3</v>
      </c>
      <c r="K26" s="28"/>
    </row>
    <row r="27" spans="1:11">
      <c r="A27" s="21">
        <f t="shared" si="0"/>
        <v>7</v>
      </c>
      <c r="B27" s="12">
        <f t="shared" si="0"/>
        <v>7</v>
      </c>
      <c r="C27" s="12">
        <f t="shared" si="0"/>
        <v>1.905</v>
      </c>
      <c r="D27" s="12">
        <f t="shared" si="1"/>
        <v>0.64448200857866433</v>
      </c>
      <c r="E27" s="12">
        <f t="shared" si="2"/>
        <v>49</v>
      </c>
      <c r="F27" s="12">
        <f t="shared" si="3"/>
        <v>0.41535705938158957</v>
      </c>
      <c r="G27" s="12">
        <f t="shared" si="4"/>
        <v>4.5113740600506507</v>
      </c>
      <c r="H27" s="12">
        <f t="shared" si="5"/>
        <v>0.70330000000000004</v>
      </c>
      <c r="I27" s="12">
        <f t="shared" si="6"/>
        <v>2.0204090683599505</v>
      </c>
      <c r="J27" s="16">
        <f t="shared" si="7"/>
        <v>3.4595561148403203E-3</v>
      </c>
      <c r="K27" s="28"/>
    </row>
    <row r="28" spans="1:11">
      <c r="A28" s="21">
        <f t="shared" si="0"/>
        <v>8</v>
      </c>
      <c r="B28" s="12">
        <f t="shared" si="0"/>
        <v>8</v>
      </c>
      <c r="C28" s="12">
        <f t="shared" si="0"/>
        <v>1.167</v>
      </c>
      <c r="D28" s="12">
        <f t="shared" si="1"/>
        <v>0.15443635330441896</v>
      </c>
      <c r="E28" s="12">
        <f t="shared" si="2"/>
        <v>64</v>
      </c>
      <c r="F28" s="12">
        <f t="shared" si="3"/>
        <v>2.3850587221967316E-2</v>
      </c>
      <c r="G28" s="12">
        <f t="shared" si="4"/>
        <v>1.2354908264353517</v>
      </c>
      <c r="H28" s="12">
        <f t="shared" si="5"/>
        <v>0.47250000000000014</v>
      </c>
      <c r="I28" s="12">
        <f t="shared" si="6"/>
        <v>1.6039991828515148</v>
      </c>
      <c r="J28" s="16">
        <f t="shared" si="7"/>
        <v>0.10116448334929148</v>
      </c>
      <c r="K28" s="28"/>
    </row>
    <row r="29" spans="1:11">
      <c r="A29" s="21">
        <f t="shared" si="0"/>
        <v>9</v>
      </c>
      <c r="B29" s="12">
        <f t="shared" si="0"/>
        <v>9</v>
      </c>
      <c r="C29" s="12">
        <f t="shared" si="0"/>
        <v>1.1419999999999999</v>
      </c>
      <c r="D29" s="12">
        <f t="shared" si="1"/>
        <v>0.13278111123381839</v>
      </c>
      <c r="E29" s="12">
        <f t="shared" si="2"/>
        <v>81</v>
      </c>
      <c r="F29" s="12">
        <f t="shared" si="3"/>
        <v>1.7630823500487652E-2</v>
      </c>
      <c r="G29" s="12">
        <f t="shared" si="4"/>
        <v>1.1950300011043655</v>
      </c>
      <c r="H29" s="12">
        <f t="shared" si="5"/>
        <v>0.24170000000000025</v>
      </c>
      <c r="I29" s="12">
        <f t="shared" si="6"/>
        <v>1.2734121118733572</v>
      </c>
      <c r="J29" s="16">
        <f t="shared" si="7"/>
        <v>1.1863324330059898E-2</v>
      </c>
      <c r="K29" s="28"/>
    </row>
    <row r="30" spans="1:11">
      <c r="A30" s="21">
        <f t="shared" si="0"/>
        <v>10</v>
      </c>
      <c r="B30" s="12">
        <f t="shared" si="0"/>
        <v>10</v>
      </c>
      <c r="C30" s="12">
        <f t="shared" si="0"/>
        <v>1.028</v>
      </c>
      <c r="D30" s="12">
        <f t="shared" si="1"/>
        <v>2.7615167032973391E-2</v>
      </c>
      <c r="E30" s="12">
        <f t="shared" si="2"/>
        <v>100</v>
      </c>
      <c r="F30" s="12">
        <f t="shared" si="3"/>
        <v>7.6259745025902034E-4</v>
      </c>
      <c r="G30" s="12">
        <f t="shared" si="4"/>
        <v>0.27615167032973392</v>
      </c>
      <c r="H30" s="12">
        <f t="shared" si="5"/>
        <v>1.0900000000000354E-2</v>
      </c>
      <c r="I30" s="12">
        <f t="shared" si="6"/>
        <v>1.0109596214276106</v>
      </c>
      <c r="J30" s="16">
        <f t="shared" si="7"/>
        <v>2.7939680894018866E-4</v>
      </c>
      <c r="K30" s="28"/>
    </row>
    <row r="31" spans="1:11">
      <c r="A31" s="21">
        <f t="shared" si="0"/>
        <v>11</v>
      </c>
      <c r="B31" s="12">
        <f t="shared" si="0"/>
        <v>11</v>
      </c>
      <c r="C31" s="12">
        <f t="shared" si="0"/>
        <v>0.99199999999999999</v>
      </c>
      <c r="D31" s="12">
        <f t="shared" si="1"/>
        <v>-8.0321716972642666E-3</v>
      </c>
      <c r="E31" s="12">
        <f t="shared" si="2"/>
        <v>121</v>
      </c>
      <c r="F31" s="12">
        <f t="shared" si="3"/>
        <v>6.451578217433313E-5</v>
      </c>
      <c r="G31" s="12">
        <f t="shared" si="4"/>
        <v>-8.8353888669906927E-2</v>
      </c>
      <c r="H31" s="12">
        <f t="shared" si="5"/>
        <v>-0.21989999999999998</v>
      </c>
      <c r="I31" s="12">
        <f t="shared" si="6"/>
        <v>0.80259905385500252</v>
      </c>
      <c r="J31" s="16">
        <f t="shared" si="7"/>
        <v>4.48879766697175E-2</v>
      </c>
      <c r="K31" s="28"/>
    </row>
    <row r="32" spans="1:11">
      <c r="A32" s="21">
        <f t="shared" si="0"/>
        <v>12</v>
      </c>
      <c r="B32" s="12">
        <f t="shared" si="0"/>
        <v>12</v>
      </c>
      <c r="C32" s="12">
        <f t="shared" si="0"/>
        <v>0.71499999999999997</v>
      </c>
      <c r="D32" s="12">
        <f t="shared" si="1"/>
        <v>-0.33547273628812946</v>
      </c>
      <c r="E32" s="12">
        <f t="shared" si="2"/>
        <v>144</v>
      </c>
      <c r="F32" s="12">
        <f t="shared" si="3"/>
        <v>0.11254195679264485</v>
      </c>
      <c r="G32" s="12">
        <f t="shared" si="4"/>
        <v>-4.0256728354575539</v>
      </c>
      <c r="H32" s="12">
        <f t="shared" si="5"/>
        <v>-0.45069999999999988</v>
      </c>
      <c r="I32" s="12">
        <f t="shared" si="6"/>
        <v>0.63718196809809058</v>
      </c>
      <c r="J32" s="16">
        <f t="shared" si="7"/>
        <v>1.327732230252493E-2</v>
      </c>
      <c r="K32" s="28"/>
    </row>
    <row r="33" spans="1:11">
      <c r="A33" s="22" t="s">
        <v>43</v>
      </c>
      <c r="B33" s="17">
        <f t="shared" ref="B33:J33" si="8">SUM(B21:B32)</f>
        <v>78</v>
      </c>
      <c r="C33" s="17">
        <f t="shared" si="8"/>
        <v>37.641000000000005</v>
      </c>
      <c r="D33" s="17">
        <f t="shared" si="8"/>
        <v>9.8265616319461735</v>
      </c>
      <c r="E33" s="17">
        <f t="shared" si="8"/>
        <v>650</v>
      </c>
      <c r="F33" s="17">
        <f t="shared" si="8"/>
        <v>15.891008706662152</v>
      </c>
      <c r="G33" s="17">
        <f t="shared" si="8"/>
        <v>30.872575247635048</v>
      </c>
      <c r="H33" s="17">
        <f t="shared" si="8"/>
        <v>9.8244000000000025</v>
      </c>
      <c r="I33" s="17">
        <f t="shared" si="8"/>
        <v>36.698912220930346</v>
      </c>
      <c r="J33" s="18">
        <f t="shared" si="8"/>
        <v>0.22881370433052017</v>
      </c>
      <c r="K33" s="28"/>
    </row>
    <row r="34" spans="1:11">
      <c r="A34" s="23" t="s">
        <v>44</v>
      </c>
      <c r="B34" s="19">
        <f t="shared" ref="B34:J34" si="9">AVERAGE(B21:B32)</f>
        <v>6.5</v>
      </c>
      <c r="C34" s="19">
        <f t="shared" si="9"/>
        <v>3.1367500000000006</v>
      </c>
      <c r="D34" s="19">
        <f t="shared" si="9"/>
        <v>0.81888013599551446</v>
      </c>
      <c r="E34" s="19">
        <f t="shared" si="9"/>
        <v>54.166666666666664</v>
      </c>
      <c r="F34" s="19">
        <f t="shared" si="9"/>
        <v>1.3242507255551794</v>
      </c>
      <c r="G34" s="19">
        <f t="shared" si="9"/>
        <v>2.5727146039695872</v>
      </c>
      <c r="H34" s="19">
        <f t="shared" si="9"/>
        <v>0.81870000000000021</v>
      </c>
      <c r="I34" s="19">
        <f t="shared" si="9"/>
        <v>3.0582426850775288</v>
      </c>
      <c r="J34" s="20">
        <f t="shared" si="9"/>
        <v>1.9067808694210014E-2</v>
      </c>
      <c r="K34" s="28"/>
    </row>
    <row r="35" spans="1:1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</row>
    <row r="36" spans="1:11">
      <c r="A36" s="33" t="s">
        <v>80</v>
      </c>
      <c r="B36" s="34"/>
      <c r="C36" s="34"/>
      <c r="D36" s="34"/>
      <c r="E36" s="34"/>
      <c r="F36" s="34"/>
      <c r="G36" s="34"/>
      <c r="H36" s="34"/>
      <c r="I36" s="34"/>
      <c r="J36" s="35"/>
      <c r="K36" s="28"/>
    </row>
    <row r="37" spans="1:11">
      <c r="A37" s="36"/>
      <c r="B37" s="37"/>
      <c r="C37" s="37"/>
      <c r="D37" s="37"/>
      <c r="E37" s="37"/>
      <c r="F37" s="37"/>
      <c r="G37" s="37"/>
      <c r="H37" s="37"/>
      <c r="I37" s="37"/>
      <c r="J37" s="38"/>
      <c r="K37" s="28"/>
    </row>
    <row r="38" spans="1:11">
      <c r="A38" s="39"/>
      <c r="B38" s="40"/>
      <c r="C38" s="40"/>
      <c r="D38" s="40"/>
      <c r="E38" s="40"/>
      <c r="F38" s="40"/>
      <c r="G38" s="40"/>
      <c r="H38" s="40"/>
      <c r="I38" s="40"/>
      <c r="J38" s="41"/>
      <c r="K38" s="28"/>
    </row>
    <row r="39" spans="1:1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</row>
    <row r="40" spans="1:1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</row>
    <row r="41" spans="1:1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</row>
    <row r="42" spans="1:1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</row>
    <row r="43" spans="1:1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</row>
    <row r="44" spans="1:1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</row>
  </sheetData>
  <mergeCells count="6">
    <mergeCell ref="A36:J38"/>
    <mergeCell ref="A1:J1"/>
    <mergeCell ref="A2:J2"/>
    <mergeCell ref="A4:C4"/>
    <mergeCell ref="E4:J4"/>
    <mergeCell ref="A19:J19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Квартиры</vt:lpstr>
      <vt:lpstr>Распад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Emin</dc:creator>
  <cp:lastModifiedBy>Emin Elizbaryan</cp:lastModifiedBy>
  <dcterms:created xsi:type="dcterms:W3CDTF">2026-06-15T21:10:59Z</dcterms:created>
  <dcterms:modified xsi:type="dcterms:W3CDTF">2026-06-15T21:10:59Z</dcterms:modified>
</cp:coreProperties>
</file>