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C:\Users\Emin\Desktop\"/>
    </mc:Choice>
  </mc:AlternateContent>
  <xr:revisionPtr revIDLastSave="0" documentId="13_ncr:1_{29346AA3-0D59-4EB7-A7B5-57C29D42F5C3}" xr6:coauthVersionLast="47" xr6:coauthVersionMax="47" xr10:uidLastSave="{00000000-0000-0000-0000-000000000000}"/>
  <bookViews>
    <workbookView xWindow="7050" yWindow="3705" windowWidth="21600" windowHeight="8895" activeTab="3" xr2:uid="{00000000-000D-0000-FFFF-FFFF00000000}"/>
  </bookViews>
  <sheets>
    <sheet name="Задача1" sheetId="1" r:id="rId1"/>
    <sheet name="Задача2" sheetId="2" r:id="rId2"/>
    <sheet name="Задача3" sheetId="3" r:id="rId3"/>
    <sheet name="Задача4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A5" i="4" s="1"/>
  <c r="C5" i="4" s="1"/>
  <c r="D2" i="4"/>
  <c r="B5" i="4" s="1"/>
  <c r="B9" i="3"/>
  <c r="C9" i="3"/>
  <c r="D9" i="3"/>
  <c r="E9" i="3" s="1"/>
  <c r="H9" i="3"/>
  <c r="I9" i="3"/>
  <c r="F7" i="2"/>
  <c r="C7" i="2"/>
  <c r="D7" i="2" s="1"/>
  <c r="B7" i="2"/>
  <c r="A7" i="2"/>
  <c r="E7" i="2" s="1"/>
  <c r="G7" i="2" s="1"/>
  <c r="A12" i="2" s="1"/>
  <c r="F2" i="1"/>
  <c r="E2" i="1"/>
  <c r="D2" i="1"/>
  <c r="G2" i="1" s="1"/>
  <c r="A9" i="4" l="1"/>
  <c r="B9" i="4"/>
  <c r="J9" i="3"/>
  <c r="K9" i="3"/>
</calcChain>
</file>

<file path=xl/sharedStrings.xml><?xml version="1.0" encoding="utf-8"?>
<sst xmlns="http://schemas.openxmlformats.org/spreadsheetml/2006/main" count="49" uniqueCount="42">
  <si>
    <t>n1</t>
  </si>
  <si>
    <t>Z</t>
  </si>
  <si>
    <t>Zкр.</t>
  </si>
  <si>
    <t>Zстат.</t>
  </si>
  <si>
    <t>P-value</t>
  </si>
  <si>
    <t>x̄</t>
  </si>
  <si>
    <t>σ1²</t>
  </si>
  <si>
    <t>n2</t>
  </si>
  <si>
    <t>ȳ</t>
  </si>
  <si>
    <t>σ2²</t>
  </si>
  <si>
    <t>α</t>
  </si>
  <si>
    <t>Ответ</t>
  </si>
  <si>
    <t>Z &gt; Zкр</t>
  </si>
  <si>
    <t>m1</t>
  </si>
  <si>
    <t>m2</t>
  </si>
  <si>
    <t>p̂₁</t>
  </si>
  <si>
    <t>p̂₂</t>
  </si>
  <si>
    <t>p̂</t>
  </si>
  <si>
    <t>SE</t>
  </si>
  <si>
    <t>z-стат.</t>
  </si>
  <si>
    <t>zкрит.</t>
  </si>
  <si>
    <t>p-value</t>
  </si>
  <si>
    <t>Вывод</t>
  </si>
  <si>
    <t>Данные</t>
  </si>
  <si>
    <t>Объем выборки</t>
  </si>
  <si>
    <t>Сумма ∑x</t>
  </si>
  <si>
    <t>Среднее x̄</t>
  </si>
  <si>
    <t>отклонение</t>
  </si>
  <si>
    <t>Ст. Ошибка</t>
  </si>
  <si>
    <t>Надежность</t>
  </si>
  <si>
    <t>a</t>
  </si>
  <si>
    <t>Степени свободы</t>
  </si>
  <si>
    <t>t</t>
  </si>
  <si>
    <t>Верхняя граница</t>
  </si>
  <si>
    <t>Нижняя граница</t>
  </si>
  <si>
    <t>n</t>
  </si>
  <si>
    <t>Выборочная дисперсия s²</t>
  </si>
  <si>
    <t>s</t>
  </si>
  <si>
    <t>γ</t>
  </si>
  <si>
    <t>t(α/2; n-1)</t>
  </si>
  <si>
    <t>Стандартная ошибка SE</t>
  </si>
  <si>
    <t>Предельная ошибка 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</si>
</sst>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0" xfId="0" applyFill="1"/>
    <xf numFmtId="0" fontId="0" fillId="2" borderId="0" xfId="0" applyFill="1"/>
    <xf numFmtId="0" fontId="1" fillId="0" borderId="0" xfId="0" applyFont="1"/>
    <xf numFmtId="0" fontId="1" fillId="3" borderId="1" xfId="0" applyFont="1" applyFill="1" applyBorder="1"/>
    <xf numFmtId="0" fontId="1" fillId="2" borderId="1" xfId="0" applyFont="1" applyFill="1" applyBorder="1"/>
    <xf numFmtId="2" fontId="1" fillId="3" borderId="1" xfId="0" applyNumberFormat="1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&#1045;&#1083;&#1080;&#1079;&#1072;&#1088;&#1086;&#1074;_&#1040;_&#1040;_&#1048;&#1042;&#1058;_1_1_&#1050;&#1086;&#1085;&#1090;&#1088;&#1086;&#1083;&#1100;&#1085;&#1072;&#1103;_&#1088;&#1072;&#1073;&#1086;&#1090;&#1072;.xlsx" TargetMode="External"/><Relationship Id="rId2" Type="http://schemas.openxmlformats.org/officeDocument/2006/relationships/externalLinkPath" Target="file:///C:\Users\Emin\Downloads\&#1045;&#1083;&#1080;&#1079;&#1072;&#1088;&#1086;&#1074;_&#1040;_&#1040;_&#1048;&#1042;&#1058;_1_1_&#1050;&#1086;&#1085;&#1090;&#1088;&#1086;&#1083;&#1100;&#1085;&#1072;&#1103;_&#1088;&#1072;&#1073;&#1086;&#1090;&#1072;.xlsx" TargetMode="External"/><Relationship Id="rId1" Type="http://schemas.openxmlformats.org/officeDocument/2006/relationships/externalLinkPath" Target="/Users/Emin/Downloads/&#1045;&#1083;&#1080;&#1079;&#1072;&#1088;&#1086;&#1074;_&#1040;_&#1040;_&#1048;&#1042;&#1058;_1_1_&#1050;&#1086;&#1085;&#1090;&#1088;&#1086;&#1083;&#1100;&#1085;&#1072;&#1103;_&#1088;&#1072;&#1073;&#1086;&#1090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Задание 1"/>
      <sheetName val="Задание 2"/>
      <sheetName val="Задание 3"/>
      <sheetName val="Задание 4"/>
    </sheetNames>
    <sheetDataSet>
      <sheetData sheetId="0"/>
      <sheetData sheetId="1"/>
      <sheetData sheetId="2">
        <row r="1">
          <cell r="A1" t="str">
            <v>Данные</v>
          </cell>
          <cell r="B1">
            <v>246</v>
          </cell>
          <cell r="C1">
            <v>247</v>
          </cell>
          <cell r="D1">
            <v>247.3</v>
          </cell>
          <cell r="E1">
            <v>247.4</v>
          </cell>
          <cell r="F1">
            <v>251.7</v>
          </cell>
          <cell r="G1">
            <v>252.5</v>
          </cell>
          <cell r="H1">
            <v>252.6</v>
          </cell>
          <cell r="I1">
            <v>252.8</v>
          </cell>
          <cell r="J1">
            <v>252.8</v>
          </cell>
          <cell r="K1">
            <v>252.9</v>
          </cell>
          <cell r="L1">
            <v>253</v>
          </cell>
          <cell r="M1">
            <v>253.6</v>
          </cell>
          <cell r="N1">
            <v>254.6</v>
          </cell>
          <cell r="O1">
            <v>254.7</v>
          </cell>
          <cell r="P1">
            <v>254.8</v>
          </cell>
          <cell r="Q1">
            <v>256.10000000000002</v>
          </cell>
          <cell r="R1">
            <v>256.3</v>
          </cell>
          <cell r="S1">
            <v>256.8</v>
          </cell>
          <cell r="T1">
            <v>257.39999999999998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opLeftCell="A4" workbookViewId="0">
      <selection activeCell="D1" sqref="D1:G2"/>
    </sheetView>
  </sheetViews>
  <sheetFormatPr defaultRowHeight="15" x14ac:dyDescent="0.25"/>
  <sheetData>
    <row r="1" spans="1:9" ht="15.75" x14ac:dyDescent="0.25">
      <c r="A1" s="2" t="s">
        <v>0</v>
      </c>
      <c r="B1" s="3">
        <v>50</v>
      </c>
      <c r="C1" s="1"/>
      <c r="D1" s="4" t="s">
        <v>1</v>
      </c>
      <c r="E1" s="4" t="s">
        <v>2</v>
      </c>
      <c r="F1" s="4" t="s">
        <v>3</v>
      </c>
      <c r="G1" s="4" t="s">
        <v>4</v>
      </c>
    </row>
    <row r="2" spans="1:9" ht="15.75" x14ac:dyDescent="0.25">
      <c r="A2" s="2" t="s">
        <v>5</v>
      </c>
      <c r="B2" s="3">
        <v>85</v>
      </c>
      <c r="C2" s="1"/>
      <c r="D2" s="5">
        <f>(B2-B5)/SQRT(B3/B1+B6/B4)</f>
        <v>4.0035031388994273</v>
      </c>
      <c r="E2" s="6">
        <f>_xlfn.NORM.S.INV(1-B7/2)</f>
        <v>1.9599639845400536</v>
      </c>
      <c r="F2" s="6">
        <f>(B2-B5)/SQRT(B3/B1+B6/B4)</f>
        <v>4.0035031388994273</v>
      </c>
      <c r="G2" s="6">
        <f>2*(_xlfn.NORM.S.DIST(ABS(D2),TRUE))</f>
        <v>1.9999375886273048</v>
      </c>
    </row>
    <row r="3" spans="1:9" ht="15.75" x14ac:dyDescent="0.25">
      <c r="A3" s="2" t="s">
        <v>6</v>
      </c>
      <c r="B3" s="3">
        <v>100</v>
      </c>
      <c r="C3" s="1"/>
      <c r="D3" s="1"/>
      <c r="E3" s="1"/>
      <c r="F3" s="1"/>
      <c r="G3" s="1"/>
      <c r="H3" s="1"/>
    </row>
    <row r="4" spans="1:9" ht="15.75" x14ac:dyDescent="0.25">
      <c r="A4" s="2" t="s">
        <v>7</v>
      </c>
      <c r="B4" s="3">
        <v>70</v>
      </c>
      <c r="C4" s="1"/>
      <c r="D4" s="1"/>
      <c r="E4" s="1"/>
      <c r="F4" s="1"/>
      <c r="G4" s="1"/>
      <c r="H4" s="1"/>
    </row>
    <row r="5" spans="1:9" ht="15.75" x14ac:dyDescent="0.25">
      <c r="A5" s="2" t="s">
        <v>8</v>
      </c>
      <c r="B5" s="3">
        <v>78</v>
      </c>
      <c r="C5" s="1"/>
      <c r="D5" s="1"/>
      <c r="E5" s="1"/>
      <c r="F5" s="1"/>
      <c r="G5" s="1"/>
      <c r="H5" s="1"/>
    </row>
    <row r="6" spans="1:9" ht="15.75" x14ac:dyDescent="0.25">
      <c r="A6" s="2" t="s">
        <v>9</v>
      </c>
      <c r="B6" s="3">
        <v>74</v>
      </c>
      <c r="C6" s="1"/>
      <c r="D6" s="1"/>
      <c r="E6" s="1"/>
      <c r="F6" s="1"/>
      <c r="G6" s="1"/>
      <c r="H6" s="1"/>
      <c r="I6" s="8" t="s">
        <v>11</v>
      </c>
    </row>
    <row r="7" spans="1:9" ht="15.75" x14ac:dyDescent="0.25">
      <c r="A7" s="2" t="s">
        <v>10</v>
      </c>
      <c r="B7" s="3">
        <v>0.05</v>
      </c>
      <c r="C7" s="1"/>
      <c r="D7" s="1"/>
      <c r="E7" s="1"/>
      <c r="F7" s="1"/>
      <c r="G7" s="1"/>
      <c r="H7" s="1"/>
      <c r="I7" s="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5960-2A72-49A5-9375-7D14BC18B228}">
  <dimension ref="A1:G12"/>
  <sheetViews>
    <sheetView workbookViewId="0">
      <selection activeCell="G12" sqref="A1:G12"/>
    </sheetView>
  </sheetViews>
  <sheetFormatPr defaultRowHeight="15" x14ac:dyDescent="0.25"/>
  <cols>
    <col min="1" max="1" width="16.85546875" bestFit="1" customWidth="1"/>
    <col min="8" max="8" width="16.85546875" bestFit="1" customWidth="1"/>
  </cols>
  <sheetData>
    <row r="1" spans="1:7" ht="15.75" x14ac:dyDescent="0.25">
      <c r="A1" s="4" t="s">
        <v>0</v>
      </c>
      <c r="B1" s="4" t="s">
        <v>13</v>
      </c>
      <c r="C1" s="4" t="s">
        <v>7</v>
      </c>
      <c r="D1" s="4" t="s">
        <v>14</v>
      </c>
      <c r="E1" s="4" t="s">
        <v>10</v>
      </c>
    </row>
    <row r="2" spans="1:7" ht="15.75" x14ac:dyDescent="0.25">
      <c r="A2" s="6">
        <v>105</v>
      </c>
      <c r="B2" s="6">
        <v>60</v>
      </c>
      <c r="C2" s="6">
        <v>140</v>
      </c>
      <c r="D2" s="6">
        <v>69</v>
      </c>
      <c r="E2" s="6">
        <v>0.02</v>
      </c>
    </row>
    <row r="6" spans="1:7" ht="15.75" x14ac:dyDescent="0.25">
      <c r="A6" s="4" t="s">
        <v>15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21</v>
      </c>
    </row>
    <row r="7" spans="1:7" ht="15.75" x14ac:dyDescent="0.25">
      <c r="A7" s="6">
        <f>B2/A2</f>
        <v>0.5714285714285714</v>
      </c>
      <c r="B7" s="6">
        <f>D2/C2</f>
        <v>0.49285714285714288</v>
      </c>
      <c r="C7" s="6">
        <f>(B2+D2)/(A2+C2)</f>
        <v>0.52653061224489794</v>
      </c>
      <c r="D7" s="6">
        <f>SQRT(C7*(1-C7)*(1/A2+1/C2))</f>
        <v>6.4458788722447938E-2</v>
      </c>
      <c r="E7" s="6">
        <f>(A7-B7)/D7</f>
        <v>1.2189405064644943</v>
      </c>
      <c r="F7" s="6">
        <f>_xlfn.NORM.S.INV(1-E2/2)</f>
        <v>2.3263478740408408</v>
      </c>
      <c r="G7" s="6">
        <f>2*(1-_xlfn.NORM.S.DIST(ABS(E7),TRUE))</f>
        <v>0.22286677400974431</v>
      </c>
    </row>
    <row r="11" spans="1:7" ht="15.75" x14ac:dyDescent="0.25">
      <c r="A11" s="4" t="s">
        <v>22</v>
      </c>
    </row>
    <row r="12" spans="1:7" ht="15.75" x14ac:dyDescent="0.25">
      <c r="A12" s="6" t="str">
        <f>IF(G7&lt;E2,"Отвергаем H₀","Не отвергаем H₀")</f>
        <v>Не отвергаем H₀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A223-A4F8-4A41-AFCB-82ACFAFA4ED6}">
  <dimension ref="A1:K9"/>
  <sheetViews>
    <sheetView workbookViewId="0">
      <selection activeCell="H16" sqref="H16"/>
    </sheetView>
  </sheetViews>
  <sheetFormatPr defaultRowHeight="15" x14ac:dyDescent="0.25"/>
  <cols>
    <col min="1" max="1" width="16.5703125" bestFit="1" customWidth="1"/>
    <col min="2" max="2" width="10.5703125" bestFit="1" customWidth="1"/>
    <col min="10" max="10" width="17.5703125" bestFit="1" customWidth="1"/>
    <col min="11" max="12" width="17.42578125" bestFit="1" customWidth="1"/>
  </cols>
  <sheetData>
    <row r="1" spans="1:11" s="9" customFormat="1" ht="15.75" x14ac:dyDescent="0.25">
      <c r="A1" s="13" t="s">
        <v>23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ht="15.75" x14ac:dyDescent="0.25">
      <c r="A2" s="10">
        <v>246</v>
      </c>
      <c r="B2" s="10">
        <v>247</v>
      </c>
      <c r="C2" s="10">
        <v>247.3</v>
      </c>
      <c r="D2" s="10">
        <v>247.4</v>
      </c>
      <c r="E2" s="10">
        <v>251.7</v>
      </c>
      <c r="F2" s="10">
        <v>252.5</v>
      </c>
      <c r="G2" s="10">
        <v>252.6</v>
      </c>
      <c r="H2" s="10">
        <v>252.8</v>
      </c>
      <c r="I2" s="10">
        <v>252.8</v>
      </c>
      <c r="J2" s="10">
        <v>252.9</v>
      </c>
    </row>
    <row r="3" spans="1:11" ht="15.75" x14ac:dyDescent="0.25">
      <c r="A3" s="10">
        <v>253</v>
      </c>
      <c r="B3" s="10">
        <v>253.6</v>
      </c>
      <c r="C3" s="10">
        <v>254.6</v>
      </c>
      <c r="D3" s="10">
        <v>254.7</v>
      </c>
      <c r="E3" s="10">
        <v>254.8</v>
      </c>
      <c r="F3" s="10">
        <v>256.10000000000002</v>
      </c>
      <c r="G3" s="10">
        <v>256.3</v>
      </c>
      <c r="H3" s="10">
        <v>256.8</v>
      </c>
      <c r="I3" s="10">
        <v>257.39999999999998</v>
      </c>
      <c r="J3" s="10">
        <v>259.2</v>
      </c>
    </row>
    <row r="8" spans="1:11" ht="15.75" x14ac:dyDescent="0.25">
      <c r="A8" s="11" t="s">
        <v>24</v>
      </c>
      <c r="B8" s="11" t="s">
        <v>25</v>
      </c>
      <c r="C8" s="11" t="s">
        <v>26</v>
      </c>
      <c r="D8" s="11" t="s">
        <v>27</v>
      </c>
      <c r="E8" s="11" t="s">
        <v>28</v>
      </c>
      <c r="F8" s="11" t="s">
        <v>29</v>
      </c>
      <c r="G8" s="11" t="s">
        <v>30</v>
      </c>
      <c r="H8" s="11" t="s">
        <v>31</v>
      </c>
      <c r="I8" s="11" t="s">
        <v>32</v>
      </c>
      <c r="J8" s="11" t="s">
        <v>33</v>
      </c>
      <c r="K8" s="11" t="s">
        <v>34</v>
      </c>
    </row>
    <row r="9" spans="1:11" ht="15.75" x14ac:dyDescent="0.25">
      <c r="A9" s="10">
        <v>20</v>
      </c>
      <c r="B9" s="10">
        <f>SUM('[1]Задание 3'!A1:T1)</f>
        <v>4800.2999999999993</v>
      </c>
      <c r="C9" s="12">
        <f>AVERAGE('[1]Задание 3'!A1:T1)</f>
        <v>252.64736842105259</v>
      </c>
      <c r="D9" s="12">
        <f>_xlfn.STDEV.S('[1]Задание 3'!A1:T1)</f>
        <v>3.4320982278504251</v>
      </c>
      <c r="E9" s="12">
        <f>D9/SQRT(A9)</f>
        <v>0.7674404942930112</v>
      </c>
      <c r="F9" s="10">
        <v>0.95</v>
      </c>
      <c r="G9" s="10">
        <v>0.05</v>
      </c>
      <c r="H9" s="10">
        <f>A9-1</f>
        <v>19</v>
      </c>
      <c r="I9" s="10">
        <f>_xlfn.T.INV(G9,H9)</f>
        <v>-1.7291328115213698</v>
      </c>
      <c r="J9" s="10">
        <f>C9+I9*E9</f>
        <v>251.32036188148038</v>
      </c>
      <c r="K9" s="10">
        <f>C9-I9*E9</f>
        <v>253.9743749606248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9E83-3949-4505-9D0D-141742C03985}">
  <dimension ref="A1:F9"/>
  <sheetViews>
    <sheetView tabSelected="1" workbookViewId="0">
      <selection sqref="A1:F9"/>
    </sheetView>
  </sheetViews>
  <sheetFormatPr defaultRowHeight="15" x14ac:dyDescent="0.25"/>
  <cols>
    <col min="1" max="1" width="17.42578125" bestFit="1" customWidth="1"/>
    <col min="2" max="2" width="24.7109375" bestFit="1" customWidth="1"/>
    <col min="3" max="3" width="26.42578125" bestFit="1" customWidth="1"/>
    <col min="7" max="7" width="13.7109375" bestFit="1" customWidth="1"/>
    <col min="8" max="8" width="24.7109375" bestFit="1" customWidth="1"/>
    <col min="9" max="9" width="22.42578125" bestFit="1" customWidth="1"/>
    <col min="10" max="10" width="17.42578125" bestFit="1" customWidth="1"/>
    <col min="11" max="11" width="17.5703125" bestFit="1" customWidth="1"/>
  </cols>
  <sheetData>
    <row r="1" spans="1:6" ht="15.75" x14ac:dyDescent="0.25">
      <c r="A1" s="4" t="s">
        <v>35</v>
      </c>
      <c r="B1" s="4" t="s">
        <v>26</v>
      </c>
      <c r="C1" s="4" t="s">
        <v>36</v>
      </c>
      <c r="D1" s="4" t="s">
        <v>37</v>
      </c>
      <c r="E1" s="4" t="s">
        <v>38</v>
      </c>
      <c r="F1" s="4" t="s">
        <v>10</v>
      </c>
    </row>
    <row r="2" spans="1:6" ht="15.75" x14ac:dyDescent="0.25">
      <c r="A2" s="6">
        <v>7</v>
      </c>
      <c r="B2" s="6">
        <v>30</v>
      </c>
      <c r="C2" s="6">
        <v>36</v>
      </c>
      <c r="D2" s="6">
        <f>SQRT(C2)</f>
        <v>6</v>
      </c>
      <c r="E2" s="6">
        <v>0.99</v>
      </c>
      <c r="F2" s="6">
        <f>1-E2</f>
        <v>1.0000000000000009E-2</v>
      </c>
    </row>
    <row r="4" spans="1:6" ht="15.75" x14ac:dyDescent="0.25">
      <c r="A4" s="4" t="s">
        <v>39</v>
      </c>
      <c r="B4" s="4" t="s">
        <v>40</v>
      </c>
      <c r="C4" s="4" t="s">
        <v>41</v>
      </c>
    </row>
    <row r="5" spans="1:6" ht="15.75" x14ac:dyDescent="0.25">
      <c r="A5" s="6">
        <f>_xlfn.T.INV.2T(F2,A2-1)</f>
        <v>3.7074280213247786</v>
      </c>
      <c r="B5" s="6">
        <f>D2/SQRT(A2)</f>
        <v>2.2677868380553634</v>
      </c>
      <c r="C5" s="6">
        <f>A5*B5</f>
        <v>8.4076564697979723</v>
      </c>
    </row>
    <row r="8" spans="1:6" ht="15.75" x14ac:dyDescent="0.25">
      <c r="A8" s="4" t="s">
        <v>34</v>
      </c>
      <c r="B8" s="4" t="s">
        <v>33</v>
      </c>
    </row>
    <row r="9" spans="1:6" ht="15.75" x14ac:dyDescent="0.25">
      <c r="A9" s="6">
        <f>B2-C5</f>
        <v>21.592343530202029</v>
      </c>
      <c r="B9" s="6">
        <f>B2+C5</f>
        <v>38.407656469797971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Задача1</vt:lpstr>
      <vt:lpstr>Задача2</vt:lpstr>
      <vt:lpstr>Задача3</vt:lpstr>
      <vt:lpstr>Задача4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Emin Elizbaryan</cp:lastModifiedBy>
  <dcterms:created xsi:type="dcterms:W3CDTF">2015-06-05T18:17:20Z</dcterms:created>
  <dcterms:modified xsi:type="dcterms:W3CDTF">2026-03-30T09:13:19Z</dcterms:modified>
</cp:coreProperties>
</file>