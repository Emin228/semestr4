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9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закон расспредления\"/>
    </mc:Choice>
  </mc:AlternateContent>
  <xr:revisionPtr revIDLastSave="0" documentId="13_ncr:1_{97ADC799-66BF-4025-8685-A655D632F018}" xr6:coauthVersionLast="47" xr6:coauthVersionMax="47" xr10:uidLastSave="{00000000-0000-0000-0000-000000000000}"/>
  <bookViews>
    <workbookView xWindow="405" yWindow="2580" windowWidth="21600" windowHeight="11835" activeTab="3" xr2:uid="{00000000-000D-0000-FFFF-FFFF00000000}"/>
  </bookViews>
  <sheets>
    <sheet name="Метод_1" sheetId="1" r:id="rId1"/>
    <sheet name="Метод_2" sheetId="2" r:id="rId2"/>
    <sheet name="Метод_3" sheetId="3" r:id="rId3"/>
    <sheet name="Метод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A10" i="2"/>
  <c r="G10" i="2" s="1"/>
  <c r="B10" i="4"/>
  <c r="B10" i="2"/>
  <c r="B9" i="3"/>
  <c r="A10" i="4" a="1"/>
  <c r="A10" i="4" s="1"/>
  <c r="A9" i="3"/>
  <c r="J10" i="3" s="1"/>
  <c r="L9" i="1"/>
  <c r="K9" i="1"/>
  <c r="I9" i="1"/>
  <c r="H9" i="1"/>
  <c r="L2" i="1"/>
  <c r="F9" i="1"/>
  <c r="E9" i="1"/>
  <c r="C9" i="1"/>
  <c r="B9" i="1"/>
  <c r="A9" i="1"/>
  <c r="I10" i="3" l="1"/>
  <c r="G10" i="3" s="1"/>
  <c r="E10" i="3" s="1"/>
  <c r="I9" i="3"/>
  <c r="G9" i="3" s="1"/>
  <c r="E9" i="3" s="1"/>
  <c r="J9" i="3"/>
  <c r="I11" i="3"/>
  <c r="I12" i="3"/>
  <c r="J12" i="3"/>
  <c r="J11" i="3"/>
  <c r="G12" i="3" l="1"/>
  <c r="E12" i="3" s="1"/>
  <c r="G11" i="3"/>
  <c r="E1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<sst xmlns="http://schemas.openxmlformats.org/spreadsheetml/2006/main" count="28" uniqueCount="23">
  <si>
    <t>Исходные данные</t>
  </si>
  <si>
    <t>n</t>
  </si>
  <si>
    <t>Avg</t>
  </si>
  <si>
    <t>Mo</t>
  </si>
  <si>
    <t>Me</t>
  </si>
  <si>
    <t>Ex</t>
  </si>
  <si>
    <t>As</t>
  </si>
  <si>
    <t>U3</t>
  </si>
  <si>
    <t>U4</t>
  </si>
  <si>
    <t>As/U3</t>
  </si>
  <si>
    <t>Ex/U4</t>
  </si>
  <si>
    <t>А</t>
  </si>
  <si>
    <r>
      <t>A/</t>
    </r>
    <r>
      <rPr>
        <sz val="11"/>
        <color theme="1"/>
        <rFont val="Aptos Narrow"/>
        <family val="2"/>
      </rPr>
      <t>σ</t>
    </r>
  </si>
  <si>
    <t>σ</t>
  </si>
  <si>
    <t>avg</t>
  </si>
  <si>
    <t>Rкр</t>
  </si>
  <si>
    <t>min</t>
  </si>
  <si>
    <t>max</t>
  </si>
  <si>
    <t>Количество</t>
  </si>
  <si>
    <t>Доля</t>
  </si>
  <si>
    <t>CAO</t>
  </si>
  <si>
    <t>(A/σ) ниж</t>
  </si>
  <si>
    <t>(A/σ) верх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</si>
</sst>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13" xfId="0" applyFill="1" applyBorder="1"/>
    <xf numFmtId="0" fontId="0" fillId="3" borderId="15" xfId="0" applyFill="1" applyBorder="1"/>
    <xf numFmtId="0" fontId="0" fillId="3" borderId="17" xfId="0" applyFill="1" applyBorder="1"/>
    <xf numFmtId="0" fontId="0" fillId="2" borderId="10" xfId="0" applyFill="1" applyBorder="1"/>
    <xf numFmtId="0" fontId="0" fillId="2" borderId="12" xfId="0" applyFill="1" applyBorder="1"/>
    <xf numFmtId="0" fontId="0" fillId="2" borderId="16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/>
    <xf numFmtId="0" fontId="0" fillId="3" borderId="19" xfId="0" applyFill="1" applyBorder="1"/>
    <xf numFmtId="0" fontId="0" fillId="2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K8" sqref="K8:L9"/>
    </sheetView>
  </sheetViews>
  <sheetFormatPr defaultRowHeight="15" x14ac:dyDescent="0.25"/>
  <sheetData>
    <row r="1" spans="1:13" ht="16.5" thickTop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  <c r="K1" s="10"/>
      <c r="L1" s="11" t="s">
        <v>1</v>
      </c>
      <c r="M1" s="10"/>
    </row>
    <row r="2" spans="1:13" ht="15.75" thickBot="1" x14ac:dyDescent="0.3">
      <c r="A2" s="12">
        <v>0</v>
      </c>
      <c r="B2" s="13">
        <v>0</v>
      </c>
      <c r="C2" s="13">
        <v>0</v>
      </c>
      <c r="D2" s="13">
        <v>3.0000000000000001E-3</v>
      </c>
      <c r="E2" s="13">
        <v>1.0999999999999999E-2</v>
      </c>
      <c r="F2" s="13">
        <v>4.2000000000000003E-2</v>
      </c>
      <c r="G2" s="13">
        <v>0.191</v>
      </c>
      <c r="H2" s="13">
        <v>0.40500000000000003</v>
      </c>
      <c r="I2" s="13">
        <v>2E-3</v>
      </c>
      <c r="J2" s="14">
        <v>0.432</v>
      </c>
      <c r="K2" s="10"/>
      <c r="L2" s="15">
        <f>COUNT(A2:J6)</f>
        <v>50</v>
      </c>
      <c r="M2" s="10"/>
    </row>
    <row r="3" spans="1:13" ht="15.75" thickBot="1" x14ac:dyDescent="0.3">
      <c r="A3" s="12">
        <v>0.51700000000000002</v>
      </c>
      <c r="B3" s="13">
        <v>0.45600000000000002</v>
      </c>
      <c r="C3" s="13">
        <v>4.7E-2</v>
      </c>
      <c r="D3" s="13">
        <v>0.16200000000000001</v>
      </c>
      <c r="E3" s="13">
        <v>9.7000000000000003E-2</v>
      </c>
      <c r="F3" s="13">
        <v>0.26100000000000001</v>
      </c>
      <c r="G3" s="13">
        <v>0.16800000000000001</v>
      </c>
      <c r="H3" s="13">
        <v>2.8000000000000001E-2</v>
      </c>
      <c r="I3" s="13">
        <v>0.32400000000000001</v>
      </c>
      <c r="J3" s="14">
        <v>0.125</v>
      </c>
      <c r="K3" s="10"/>
      <c r="L3" s="10"/>
      <c r="M3" s="10"/>
    </row>
    <row r="4" spans="1:13" ht="15.75" thickBot="1" x14ac:dyDescent="0.3">
      <c r="A4" s="12">
        <v>0.438</v>
      </c>
      <c r="B4" s="13">
        <v>0.13600000000000001</v>
      </c>
      <c r="C4" s="13">
        <v>1.9E-2</v>
      </c>
      <c r="D4" s="13">
        <v>0.26900000000000002</v>
      </c>
      <c r="E4" s="13">
        <v>9.1999999999999998E-2</v>
      </c>
      <c r="F4" s="13">
        <v>0.65300000000000002</v>
      </c>
      <c r="G4" s="13">
        <v>0.376</v>
      </c>
      <c r="H4" s="13">
        <v>9.9000000000000005E-2</v>
      </c>
      <c r="I4" s="13">
        <v>0.81200000000000006</v>
      </c>
      <c r="J4" s="14">
        <v>0.438</v>
      </c>
      <c r="K4" s="10"/>
      <c r="L4" s="10"/>
      <c r="M4" s="10"/>
    </row>
    <row r="5" spans="1:13" ht="15.75" thickBot="1" x14ac:dyDescent="0.3">
      <c r="A5" s="12">
        <v>9.1999999999999998E-2</v>
      </c>
      <c r="B5" s="13">
        <v>0.13400000000000001</v>
      </c>
      <c r="C5" s="13">
        <v>0.307</v>
      </c>
      <c r="D5" s="13">
        <v>0.18099999999999999</v>
      </c>
      <c r="E5" s="13">
        <v>0.32700000000000001</v>
      </c>
      <c r="F5" s="13">
        <v>0.33800000000000002</v>
      </c>
      <c r="G5" s="13">
        <v>0.53900000000000003</v>
      </c>
      <c r="H5" s="13">
        <v>0.25</v>
      </c>
      <c r="I5" s="13">
        <v>0.45</v>
      </c>
      <c r="J5" s="14">
        <v>9.6000000000000002E-2</v>
      </c>
      <c r="K5" s="10"/>
      <c r="L5" s="10"/>
      <c r="M5" s="10"/>
    </row>
    <row r="6" spans="1:13" ht="15.75" thickBot="1" x14ac:dyDescent="0.3">
      <c r="A6" s="16">
        <v>0.125</v>
      </c>
      <c r="B6" s="17">
        <v>0.17399999999999999</v>
      </c>
      <c r="C6" s="17">
        <v>0.159</v>
      </c>
      <c r="D6" s="17">
        <v>9.0999999999999998E-2</v>
      </c>
      <c r="E6" s="17">
        <v>0.22900000000000001</v>
      </c>
      <c r="F6" s="17">
        <v>0.46800000000000003</v>
      </c>
      <c r="G6" s="17">
        <v>0.28299999999999997</v>
      </c>
      <c r="H6" s="17">
        <v>0.151</v>
      </c>
      <c r="I6" s="17">
        <v>0.24399999999999999</v>
      </c>
      <c r="J6" s="18">
        <v>0.26100000000000001</v>
      </c>
      <c r="K6" s="10"/>
      <c r="L6" s="10"/>
      <c r="M6" s="10"/>
    </row>
    <row r="7" spans="1:13" ht="16.5" thickTop="1" thickBo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s="19" t="s">
        <v>2</v>
      </c>
      <c r="B8" s="20" t="s">
        <v>3</v>
      </c>
      <c r="C8" s="21" t="s">
        <v>4</v>
      </c>
      <c r="D8" s="10"/>
      <c r="E8" s="19" t="s">
        <v>5</v>
      </c>
      <c r="F8" s="21" t="s">
        <v>6</v>
      </c>
      <c r="G8" s="10"/>
      <c r="H8" s="19" t="s">
        <v>7</v>
      </c>
      <c r="I8" s="21" t="s">
        <v>8</v>
      </c>
      <c r="J8" s="10"/>
      <c r="K8" s="19" t="s">
        <v>9</v>
      </c>
      <c r="L8" s="21" t="s">
        <v>10</v>
      </c>
      <c r="M8" s="10"/>
    </row>
    <row r="9" spans="1:13" ht="15.75" thickBot="1" x14ac:dyDescent="0.3">
      <c r="A9" s="22">
        <f>AVERAGE(A2:J6)</f>
        <v>0.23003999999999994</v>
      </c>
      <c r="B9" s="23">
        <f>_xlfn.MODE.SNGL(A2:J6)</f>
        <v>0</v>
      </c>
      <c r="C9" s="24">
        <f>MEDIAN(A2:J6)</f>
        <v>0.17749999999999999</v>
      </c>
      <c r="D9" s="10"/>
      <c r="E9" s="22">
        <f>KURT(A2:J6)</f>
        <v>0.62101071043138045</v>
      </c>
      <c r="F9" s="24">
        <f>SKEW(A2:J6)</f>
        <v>0.90312908646437584</v>
      </c>
      <c r="G9" s="10"/>
      <c r="H9" s="22">
        <f>SQRT((6*(L2-1)) / ((L2+1) * (L2+3)))</f>
        <v>0.32979999320208186</v>
      </c>
      <c r="I9" s="24">
        <f>SQRT((24*L2*(L2-2)*(L2-3))/((L2-1)^2*(L2+3)*(L2+5)))</f>
        <v>0.62193473257139431</v>
      </c>
      <c r="J9" s="10"/>
      <c r="K9" s="22">
        <f>F9/H9</f>
        <v>2.7384145090354561</v>
      </c>
      <c r="L9" s="24">
        <f>E9/I9</f>
        <v>0.99851427795937131</v>
      </c>
      <c r="M9" s="10"/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E8A4-EC77-43A9-BFFD-381591956401}">
  <dimension ref="A1:J10"/>
  <sheetViews>
    <sheetView topLeftCell="A3" workbookViewId="0">
      <selection activeCell="G9" sqref="G9:G10"/>
    </sheetView>
  </sheetViews>
  <sheetFormatPr defaultRowHeight="15" x14ac:dyDescent="0.25"/>
  <cols>
    <col min="4" max="4" width="9.85546875" bestFit="1" customWidth="1"/>
    <col min="5" max="5" width="10.42578125" bestFit="1" customWidth="1"/>
  </cols>
  <sheetData>
    <row r="1" spans="1:10" ht="16.5" thickTop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15.75" thickBot="1" x14ac:dyDescent="0.3">
      <c r="A2" s="12">
        <v>0</v>
      </c>
      <c r="B2" s="13">
        <v>0</v>
      </c>
      <c r="C2" s="13">
        <v>0</v>
      </c>
      <c r="D2" s="13">
        <v>3.0000000000000001E-3</v>
      </c>
      <c r="E2" s="13">
        <v>1.0999999999999999E-2</v>
      </c>
      <c r="F2" s="13">
        <v>4.2000000000000003E-2</v>
      </c>
      <c r="G2" s="13">
        <v>0.191</v>
      </c>
      <c r="H2" s="13">
        <v>0.40500000000000003</v>
      </c>
      <c r="I2" s="13">
        <v>2E-3</v>
      </c>
      <c r="J2" s="14">
        <v>0.432</v>
      </c>
    </row>
    <row r="3" spans="1:10" ht="15.75" thickBot="1" x14ac:dyDescent="0.3">
      <c r="A3" s="12">
        <v>0.51700000000000002</v>
      </c>
      <c r="B3" s="13">
        <v>0.45600000000000002</v>
      </c>
      <c r="C3" s="13">
        <v>4.7E-2</v>
      </c>
      <c r="D3" s="13">
        <v>0.16200000000000001</v>
      </c>
      <c r="E3" s="13">
        <v>9.7000000000000003E-2</v>
      </c>
      <c r="F3" s="13">
        <v>0.26100000000000001</v>
      </c>
      <c r="G3" s="13">
        <v>0.16800000000000001</v>
      </c>
      <c r="H3" s="13">
        <v>2.8000000000000001E-2</v>
      </c>
      <c r="I3" s="13">
        <v>0.32400000000000001</v>
      </c>
      <c r="J3" s="14">
        <v>0.125</v>
      </c>
    </row>
    <row r="4" spans="1:10" ht="15.75" thickBot="1" x14ac:dyDescent="0.3">
      <c r="A4" s="12">
        <v>0.438</v>
      </c>
      <c r="B4" s="13">
        <v>0.13600000000000001</v>
      </c>
      <c r="C4" s="13">
        <v>1.9E-2</v>
      </c>
      <c r="D4" s="13">
        <v>0.26900000000000002</v>
      </c>
      <c r="E4" s="13">
        <v>9.1999999999999998E-2</v>
      </c>
      <c r="F4" s="13">
        <v>0.65300000000000002</v>
      </c>
      <c r="G4" s="13">
        <v>0.376</v>
      </c>
      <c r="H4" s="13">
        <v>9.9000000000000005E-2</v>
      </c>
      <c r="I4" s="13">
        <v>0.81200000000000006</v>
      </c>
      <c r="J4" s="14">
        <v>0.438</v>
      </c>
    </row>
    <row r="5" spans="1:10" ht="15.75" thickBot="1" x14ac:dyDescent="0.3">
      <c r="A5" s="12">
        <v>9.1999999999999998E-2</v>
      </c>
      <c r="B5" s="13">
        <v>0.13400000000000001</v>
      </c>
      <c r="C5" s="13">
        <v>0.307</v>
      </c>
      <c r="D5" s="13">
        <v>0.18099999999999999</v>
      </c>
      <c r="E5" s="13">
        <v>0.32700000000000001</v>
      </c>
      <c r="F5" s="13">
        <v>0.33800000000000002</v>
      </c>
      <c r="G5" s="13">
        <v>0.53900000000000003</v>
      </c>
      <c r="H5" s="13">
        <v>0.25</v>
      </c>
      <c r="I5" s="13">
        <v>0.45</v>
      </c>
      <c r="J5" s="14">
        <v>9.6000000000000002E-2</v>
      </c>
    </row>
    <row r="6" spans="1:10" ht="15.75" thickBot="1" x14ac:dyDescent="0.3">
      <c r="A6" s="16">
        <v>0.125</v>
      </c>
      <c r="B6" s="17">
        <v>0.17399999999999999</v>
      </c>
      <c r="C6" s="17">
        <v>0.159</v>
      </c>
      <c r="D6" s="17">
        <v>9.0999999999999998E-2</v>
      </c>
      <c r="E6" s="17">
        <v>0.22900000000000001</v>
      </c>
      <c r="F6" s="17">
        <v>0.46800000000000003</v>
      </c>
      <c r="G6" s="17">
        <v>0.28299999999999997</v>
      </c>
      <c r="H6" s="17">
        <v>0.151</v>
      </c>
      <c r="I6" s="17">
        <v>0.24399999999999999</v>
      </c>
      <c r="J6" s="18">
        <v>0.26100000000000001</v>
      </c>
    </row>
    <row r="7" spans="1:10" ht="15.75" thickTop="1" x14ac:dyDescent="0.25"/>
    <row r="8" spans="1:10" ht="15.75" thickBot="1" x14ac:dyDescent="0.3"/>
    <row r="9" spans="1:10" x14ac:dyDescent="0.25">
      <c r="A9" s="4" t="s">
        <v>11</v>
      </c>
      <c r="B9" s="5" t="s">
        <v>13</v>
      </c>
      <c r="D9" s="4" t="s">
        <v>21</v>
      </c>
      <c r="E9" s="5" t="s">
        <v>22</v>
      </c>
      <c r="G9" s="6" t="s">
        <v>12</v>
      </c>
    </row>
    <row r="10" spans="1:10" ht="15.75" thickBot="1" x14ac:dyDescent="0.3">
      <c r="A10" s="1">
        <f>MAX(A2:J6) - MIN(A2:J6)</f>
        <v>0.81200000000000006</v>
      </c>
      <c r="B10" s="2">
        <f>_xlfn.STDEV.S(A2:J6)</f>
        <v>0.18708504668700165</v>
      </c>
      <c r="D10" s="1">
        <v>3.83</v>
      </c>
      <c r="E10" s="2">
        <v>5.14</v>
      </c>
      <c r="G10" s="3">
        <f>A10/B10</f>
        <v>4.3402720547650073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CEF8-E137-4668-8DFF-EA86A418B765}">
  <dimension ref="A1:J12"/>
  <sheetViews>
    <sheetView workbookViewId="0">
      <selection activeCell="E8" sqref="E8:F12"/>
    </sheetView>
  </sheetViews>
  <sheetFormatPr defaultRowHeight="15" x14ac:dyDescent="0.25"/>
  <cols>
    <col min="6" max="6" width="11.5703125" bestFit="1" customWidth="1"/>
  </cols>
  <sheetData>
    <row r="1" spans="1:10" ht="16.5" thickTop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15.75" thickBot="1" x14ac:dyDescent="0.3">
      <c r="A2" s="12">
        <v>0</v>
      </c>
      <c r="B2" s="13">
        <v>0</v>
      </c>
      <c r="C2" s="13">
        <v>0</v>
      </c>
      <c r="D2" s="13">
        <v>3.0000000000000001E-3</v>
      </c>
      <c r="E2" s="13">
        <v>1.0999999999999999E-2</v>
      </c>
      <c r="F2" s="13">
        <v>4.2000000000000003E-2</v>
      </c>
      <c r="G2" s="13">
        <v>0.191</v>
      </c>
      <c r="H2" s="13">
        <v>0.40500000000000003</v>
      </c>
      <c r="I2" s="13">
        <v>2E-3</v>
      </c>
      <c r="J2" s="14">
        <v>0.432</v>
      </c>
    </row>
    <row r="3" spans="1:10" ht="15.75" thickBot="1" x14ac:dyDescent="0.3">
      <c r="A3" s="12">
        <v>0.51700000000000002</v>
      </c>
      <c r="B3" s="13">
        <v>0.45600000000000002</v>
      </c>
      <c r="C3" s="13">
        <v>4.7E-2</v>
      </c>
      <c r="D3" s="13">
        <v>0.16200000000000001</v>
      </c>
      <c r="E3" s="13">
        <v>9.7000000000000003E-2</v>
      </c>
      <c r="F3" s="13">
        <v>0.26100000000000001</v>
      </c>
      <c r="G3" s="13">
        <v>0.16800000000000001</v>
      </c>
      <c r="H3" s="13">
        <v>2.8000000000000001E-2</v>
      </c>
      <c r="I3" s="13">
        <v>0.32400000000000001</v>
      </c>
      <c r="J3" s="14">
        <v>0.125</v>
      </c>
    </row>
    <row r="4" spans="1:10" ht="15.75" thickBot="1" x14ac:dyDescent="0.3">
      <c r="A4" s="12">
        <v>0.438</v>
      </c>
      <c r="B4" s="13">
        <v>0.13600000000000001</v>
      </c>
      <c r="C4" s="13">
        <v>1.9E-2</v>
      </c>
      <c r="D4" s="13">
        <v>0.26900000000000002</v>
      </c>
      <c r="E4" s="13">
        <v>9.1999999999999998E-2</v>
      </c>
      <c r="F4" s="13">
        <v>0.65300000000000002</v>
      </c>
      <c r="G4" s="13">
        <v>0.376</v>
      </c>
      <c r="H4" s="13">
        <v>9.9000000000000005E-2</v>
      </c>
      <c r="I4" s="13">
        <v>0.81200000000000006</v>
      </c>
      <c r="J4" s="14">
        <v>0.438</v>
      </c>
    </row>
    <row r="5" spans="1:10" ht="15.75" thickBot="1" x14ac:dyDescent="0.3">
      <c r="A5" s="12">
        <v>9.1999999999999998E-2</v>
      </c>
      <c r="B5" s="13">
        <v>0.13400000000000001</v>
      </c>
      <c r="C5" s="13">
        <v>0.307</v>
      </c>
      <c r="D5" s="13">
        <v>0.18099999999999999</v>
      </c>
      <c r="E5" s="13">
        <v>0.32700000000000001</v>
      </c>
      <c r="F5" s="13">
        <v>0.33800000000000002</v>
      </c>
      <c r="G5" s="13">
        <v>0.53900000000000003</v>
      </c>
      <c r="H5" s="13">
        <v>0.25</v>
      </c>
      <c r="I5" s="13">
        <v>0.45</v>
      </c>
      <c r="J5" s="14">
        <v>9.6000000000000002E-2</v>
      </c>
    </row>
    <row r="6" spans="1:10" ht="15.75" thickBot="1" x14ac:dyDescent="0.3">
      <c r="A6" s="16">
        <v>0.125</v>
      </c>
      <c r="B6" s="17">
        <v>0.17399999999999999</v>
      </c>
      <c r="C6" s="17">
        <v>0.159</v>
      </c>
      <c r="D6" s="17">
        <v>9.0999999999999998E-2</v>
      </c>
      <c r="E6" s="17">
        <v>0.22900000000000001</v>
      </c>
      <c r="F6" s="17">
        <v>0.46800000000000003</v>
      </c>
      <c r="G6" s="17">
        <v>0.28299999999999997</v>
      </c>
      <c r="H6" s="17">
        <v>0.151</v>
      </c>
      <c r="I6" s="17">
        <v>0.24399999999999999</v>
      </c>
      <c r="J6" s="18">
        <v>0.26100000000000001</v>
      </c>
    </row>
    <row r="7" spans="1:10" ht="16.5" thickTop="1" thickBot="1" x14ac:dyDescent="0.3"/>
    <row r="8" spans="1:10" x14ac:dyDescent="0.25">
      <c r="A8" s="4" t="s">
        <v>14</v>
      </c>
      <c r="B8" s="5" t="s">
        <v>13</v>
      </c>
      <c r="E8" s="4" t="s">
        <v>19</v>
      </c>
      <c r="F8" s="6" t="s">
        <v>15</v>
      </c>
      <c r="G8" s="27" t="s">
        <v>18</v>
      </c>
      <c r="I8" s="4" t="s">
        <v>16</v>
      </c>
      <c r="J8" s="5" t="s">
        <v>17</v>
      </c>
    </row>
    <row r="9" spans="1:10" ht="15.75" thickBot="1" x14ac:dyDescent="0.3">
      <c r="A9" s="1">
        <f>AVERAGE(A2:J6)</f>
        <v>0.23003999999999994</v>
      </c>
      <c r="B9" s="2">
        <f>_xlfn.STDEV.S(A2:J6)</f>
        <v>0.18708504668700165</v>
      </c>
      <c r="E9" s="25">
        <f>G9/50</f>
        <v>0.2</v>
      </c>
      <c r="F9" s="30">
        <v>0.25</v>
      </c>
      <c r="G9" s="28">
        <f>COUNTIFS(A2:J6, "&gt;=" &amp; I9, A2:J6, "&lt;=" &amp; J9)</f>
        <v>10</v>
      </c>
      <c r="I9" s="25">
        <f>A9-0.3*B9</f>
        <v>0.17391448599389944</v>
      </c>
      <c r="J9" s="26">
        <f>A9+0.3*B9</f>
        <v>0.28616551400610046</v>
      </c>
    </row>
    <row r="10" spans="1:10" x14ac:dyDescent="0.25">
      <c r="E10" s="25">
        <f>G10/50</f>
        <v>0.44</v>
      </c>
      <c r="F10" s="30">
        <v>0.5</v>
      </c>
      <c r="G10" s="28">
        <f>COUNTIFS(A2:J6, "&gt;=" &amp; I10, A2:J6, "&lt;=" &amp; J10)</f>
        <v>22</v>
      </c>
      <c r="I10" s="25">
        <f>A9-0.7*B9</f>
        <v>9.9080467319098781E-2</v>
      </c>
      <c r="J10" s="26">
        <f>A9+0.7*B9</f>
        <v>0.36099953268090113</v>
      </c>
    </row>
    <row r="11" spans="1:10" x14ac:dyDescent="0.25">
      <c r="E11" s="25">
        <f>G11/50</f>
        <v>0.68</v>
      </c>
      <c r="F11" s="30">
        <v>0.75</v>
      </c>
      <c r="G11" s="28">
        <f>COUNTIFS(A2:J6, "&gt;=" &amp; I11, A2:J6, "&lt;=" &amp; J11)</f>
        <v>34</v>
      </c>
      <c r="I11" s="25">
        <f>A9-1.1*B9</f>
        <v>2.4246448644298091E-2</v>
      </c>
      <c r="J11" s="26">
        <f>A9+1.1*B9</f>
        <v>0.43583355135570179</v>
      </c>
    </row>
    <row r="12" spans="1:10" ht="15.75" thickBot="1" x14ac:dyDescent="0.3">
      <c r="E12" s="1">
        <f>G12/50</f>
        <v>0.98</v>
      </c>
      <c r="F12" s="15">
        <v>0.99</v>
      </c>
      <c r="G12" s="29">
        <f>COUNTIFS(A2:J6, "&gt;=" &amp; I12, A2:J6, "&lt;=" &amp; J12)</f>
        <v>49</v>
      </c>
      <c r="I12" s="1">
        <f>A9-3*B9</f>
        <v>-0.33121514006100505</v>
      </c>
      <c r="J12" s="2">
        <f>A9+3*B9</f>
        <v>0.79129514006100488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7D5E-7ECE-4B7E-B3E5-9E93FA7BFF23}">
  <dimension ref="A1:J10"/>
  <sheetViews>
    <sheetView tabSelected="1" topLeftCell="A6" workbookViewId="0">
      <selection activeCell="D10" sqref="D10"/>
    </sheetView>
  </sheetViews>
  <sheetFormatPr defaultRowHeight="15" x14ac:dyDescent="0.25"/>
  <sheetData>
    <row r="1" spans="1:10" ht="16.5" thickTop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15.75" thickBot="1" x14ac:dyDescent="0.3">
      <c r="A2" s="12">
        <v>0</v>
      </c>
      <c r="B2" s="13">
        <v>0</v>
      </c>
      <c r="C2" s="13">
        <v>0</v>
      </c>
      <c r="D2" s="13">
        <v>3.0000000000000001E-3</v>
      </c>
      <c r="E2" s="13">
        <v>1.0999999999999999E-2</v>
      </c>
      <c r="F2" s="13">
        <v>4.2000000000000003E-2</v>
      </c>
      <c r="G2" s="13">
        <v>0.191</v>
      </c>
      <c r="H2" s="13">
        <v>0.40500000000000003</v>
      </c>
      <c r="I2" s="13">
        <v>2E-3</v>
      </c>
      <c r="J2" s="14">
        <v>0.432</v>
      </c>
    </row>
    <row r="3" spans="1:10" ht="15.75" thickBot="1" x14ac:dyDescent="0.3">
      <c r="A3" s="12">
        <v>0.51700000000000002</v>
      </c>
      <c r="B3" s="13">
        <v>0.45600000000000002</v>
      </c>
      <c r="C3" s="13">
        <v>4.7E-2</v>
      </c>
      <c r="D3" s="13">
        <v>0.16200000000000001</v>
      </c>
      <c r="E3" s="13">
        <v>9.7000000000000003E-2</v>
      </c>
      <c r="F3" s="13">
        <v>0.26100000000000001</v>
      </c>
      <c r="G3" s="13">
        <v>0.16800000000000001</v>
      </c>
      <c r="H3" s="13">
        <v>2.8000000000000001E-2</v>
      </c>
      <c r="I3" s="13">
        <v>0.32400000000000001</v>
      </c>
      <c r="J3" s="14">
        <v>0.125</v>
      </c>
    </row>
    <row r="4" spans="1:10" ht="15.75" thickBot="1" x14ac:dyDescent="0.3">
      <c r="A4" s="12">
        <v>0.438</v>
      </c>
      <c r="B4" s="13">
        <v>0.13600000000000001</v>
      </c>
      <c r="C4" s="13">
        <v>1.9E-2</v>
      </c>
      <c r="D4" s="13">
        <v>0.26900000000000002</v>
      </c>
      <c r="E4" s="13">
        <v>9.1999999999999998E-2</v>
      </c>
      <c r="F4" s="13">
        <v>0.65300000000000002</v>
      </c>
      <c r="G4" s="13">
        <v>0.376</v>
      </c>
      <c r="H4" s="13">
        <v>9.9000000000000005E-2</v>
      </c>
      <c r="I4" s="13">
        <v>0.81200000000000006</v>
      </c>
      <c r="J4" s="14">
        <v>0.438</v>
      </c>
    </row>
    <row r="5" spans="1:10" ht="15.75" thickBot="1" x14ac:dyDescent="0.3">
      <c r="A5" s="12">
        <v>9.1999999999999998E-2</v>
      </c>
      <c r="B5" s="13">
        <v>0.13400000000000001</v>
      </c>
      <c r="C5" s="13">
        <v>0.307</v>
      </c>
      <c r="D5" s="13">
        <v>0.18099999999999999</v>
      </c>
      <c r="E5" s="13">
        <v>0.32700000000000001</v>
      </c>
      <c r="F5" s="13">
        <v>0.33800000000000002</v>
      </c>
      <c r="G5" s="13">
        <v>0.53900000000000003</v>
      </c>
      <c r="H5" s="13">
        <v>0.25</v>
      </c>
      <c r="I5" s="13">
        <v>0.45</v>
      </c>
      <c r="J5" s="14">
        <v>9.6000000000000002E-2</v>
      </c>
    </row>
    <row r="6" spans="1:10" ht="15.75" thickBot="1" x14ac:dyDescent="0.3">
      <c r="A6" s="16">
        <v>0.125</v>
      </c>
      <c r="B6" s="17">
        <v>0.17399999999999999</v>
      </c>
      <c r="C6" s="17">
        <v>0.159</v>
      </c>
      <c r="D6" s="17">
        <v>9.0999999999999998E-2</v>
      </c>
      <c r="E6" s="17">
        <v>0.22900000000000001</v>
      </c>
      <c r="F6" s="17">
        <v>0.46800000000000003</v>
      </c>
      <c r="G6" s="17">
        <v>0.28299999999999997</v>
      </c>
      <c r="H6" s="17">
        <v>0.151</v>
      </c>
      <c r="I6" s="17">
        <v>0.24399999999999999</v>
      </c>
      <c r="J6" s="18">
        <v>0.26100000000000001</v>
      </c>
    </row>
    <row r="7" spans="1:10" ht="15.75" thickTop="1" x14ac:dyDescent="0.25"/>
    <row r="8" spans="1:10" ht="15.75" thickBot="1" x14ac:dyDescent="0.3"/>
    <row r="9" spans="1:10" ht="15.75" thickBot="1" x14ac:dyDescent="0.3">
      <c r="A9" s="4" t="s">
        <v>20</v>
      </c>
      <c r="B9" s="5" t="s">
        <v>13</v>
      </c>
    </row>
    <row r="10" spans="1:10" ht="15.75" thickBot="1" x14ac:dyDescent="0.3">
      <c r="A10" s="1" cm="1">
        <f t="array" ref="A10">AVERAGE(ABS(A2:J6 - AVERAGE(A2:J6)))</f>
        <v>0.15148479999999998</v>
      </c>
      <c r="B10" s="2">
        <f>_xlfn.STDEV.S(A3:J7)</f>
        <v>0.17971527338314769</v>
      </c>
      <c r="D10" s="31" t="b">
        <f>ABS(A10/B10 - 0.7979) = 0.4/SQRT(50)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Метод_1</vt:lpstr>
      <vt:lpstr>Метод_2</vt:lpstr>
      <vt:lpstr>Метод_3</vt:lpstr>
      <vt:lpstr>Метод_4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2026-02-02T21:06:18Z</dcterms:modified>
</cp:coreProperties>
</file>