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"/>
    </mc:Choice>
  </mc:AlternateContent>
  <xr:revisionPtr revIDLastSave="0" documentId="8_{0DAB2EC7-8477-4E9F-BAA3-252DB6469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сходные данные" sheetId="1" r:id="rId1"/>
    <sheet name="1. Линейная модель" sheetId="2" r:id="rId2"/>
    <sheet name="2. Степенная модель" sheetId="3" r:id="rId3"/>
    <sheet name="3. Показательная модель" sheetId="4" r:id="rId4"/>
    <sheet name="4. Гипербол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8" i="5"/>
  <c r="E8" i="5" s="1"/>
  <c r="H8" i="5" s="1"/>
  <c r="C8" i="5"/>
  <c r="B8" i="5"/>
  <c r="A8" i="5"/>
  <c r="G7" i="5"/>
  <c r="D7" i="5"/>
  <c r="E7" i="5" s="1"/>
  <c r="H7" i="5" s="1"/>
  <c r="C7" i="5"/>
  <c r="F7" i="5" s="1"/>
  <c r="B7" i="5"/>
  <c r="A7" i="5"/>
  <c r="D6" i="5"/>
  <c r="E6" i="5" s="1"/>
  <c r="H6" i="5" s="1"/>
  <c r="C6" i="5"/>
  <c r="B6" i="5"/>
  <c r="A6" i="5"/>
  <c r="D5" i="5"/>
  <c r="E5" i="5" s="1"/>
  <c r="H5" i="5" s="1"/>
  <c r="C5" i="5"/>
  <c r="B5" i="5"/>
  <c r="A5" i="5"/>
  <c r="D4" i="5"/>
  <c r="E4" i="5" s="1"/>
  <c r="H4" i="5" s="1"/>
  <c r="C4" i="5"/>
  <c r="B4" i="5"/>
  <c r="A4" i="5"/>
  <c r="D3" i="5"/>
  <c r="E3" i="5" s="1"/>
  <c r="H3" i="5" s="1"/>
  <c r="C3" i="5"/>
  <c r="B3" i="5"/>
  <c r="A3" i="5"/>
  <c r="O2" i="5"/>
  <c r="D2" i="5"/>
  <c r="C2" i="5"/>
  <c r="B2" i="5"/>
  <c r="A2" i="5"/>
  <c r="D8" i="4"/>
  <c r="C8" i="4"/>
  <c r="B8" i="4"/>
  <c r="A8" i="4"/>
  <c r="D7" i="4"/>
  <c r="F7" i="4" s="1"/>
  <c r="I7" i="4" s="1"/>
  <c r="C7" i="4"/>
  <c r="E7" i="4" s="1"/>
  <c r="B7" i="4"/>
  <c r="A7" i="4"/>
  <c r="D6" i="4"/>
  <c r="F6" i="4" s="1"/>
  <c r="I6" i="4" s="1"/>
  <c r="C6" i="4"/>
  <c r="B6" i="4"/>
  <c r="A6" i="4"/>
  <c r="D5" i="4"/>
  <c r="F5" i="4" s="1"/>
  <c r="I5" i="4" s="1"/>
  <c r="C5" i="4"/>
  <c r="B5" i="4"/>
  <c r="A5" i="4"/>
  <c r="D4" i="4"/>
  <c r="F4" i="4" s="1"/>
  <c r="I4" i="4" s="1"/>
  <c r="C4" i="4"/>
  <c r="B4" i="4"/>
  <c r="A4" i="4"/>
  <c r="D3" i="4"/>
  <c r="F3" i="4" s="1"/>
  <c r="I3" i="4" s="1"/>
  <c r="C3" i="4"/>
  <c r="B3" i="4"/>
  <c r="A3" i="4"/>
  <c r="O2" i="4"/>
  <c r="D2" i="4"/>
  <c r="F2" i="4" s="1"/>
  <c r="C2" i="4"/>
  <c r="E2" i="4" s="1"/>
  <c r="B2" i="4"/>
  <c r="A2" i="4"/>
  <c r="D10" i="3"/>
  <c r="D9" i="3"/>
  <c r="F9" i="3" s="1"/>
  <c r="I9" i="3" s="1"/>
  <c r="C9" i="3"/>
  <c r="B9" i="3"/>
  <c r="A9" i="3"/>
  <c r="D8" i="3"/>
  <c r="F8" i="3" s="1"/>
  <c r="I8" i="3" s="1"/>
  <c r="C8" i="3"/>
  <c r="B8" i="3"/>
  <c r="A8" i="3"/>
  <c r="D7" i="3"/>
  <c r="F7" i="3" s="1"/>
  <c r="I7" i="3" s="1"/>
  <c r="C7" i="3"/>
  <c r="B7" i="3"/>
  <c r="A7" i="3"/>
  <c r="D6" i="3"/>
  <c r="F6" i="3" s="1"/>
  <c r="I6" i="3" s="1"/>
  <c r="C6" i="3"/>
  <c r="E6" i="3" s="1"/>
  <c r="B6" i="3"/>
  <c r="A6" i="3"/>
  <c r="D5" i="3"/>
  <c r="F5" i="3" s="1"/>
  <c r="I5" i="3" s="1"/>
  <c r="C5" i="3"/>
  <c r="B5" i="3"/>
  <c r="A5" i="3"/>
  <c r="D4" i="3"/>
  <c r="C4" i="3"/>
  <c r="B4" i="3"/>
  <c r="A4" i="3"/>
  <c r="O3" i="3"/>
  <c r="D3" i="3"/>
  <c r="F3" i="3" s="1"/>
  <c r="C3" i="3"/>
  <c r="B3" i="3"/>
  <c r="A3" i="3"/>
  <c r="D10" i="2"/>
  <c r="D9" i="2"/>
  <c r="F9" i="2" s="1"/>
  <c r="C9" i="2"/>
  <c r="B9" i="2"/>
  <c r="A9" i="2"/>
  <c r="D8" i="2"/>
  <c r="F8" i="2" s="1"/>
  <c r="C8" i="2"/>
  <c r="B8" i="2"/>
  <c r="A8" i="2"/>
  <c r="D7" i="2"/>
  <c r="F7" i="2" s="1"/>
  <c r="C7" i="2"/>
  <c r="B7" i="2"/>
  <c r="A7" i="2"/>
  <c r="D6" i="2"/>
  <c r="F6" i="2" s="1"/>
  <c r="C6" i="2"/>
  <c r="B6" i="2"/>
  <c r="A6" i="2"/>
  <c r="D5" i="2"/>
  <c r="F5" i="2" s="1"/>
  <c r="C5" i="2"/>
  <c r="B5" i="2"/>
  <c r="A5" i="2"/>
  <c r="D4" i="2"/>
  <c r="F4" i="2" s="1"/>
  <c r="C4" i="2"/>
  <c r="B4" i="2"/>
  <c r="A4" i="2"/>
  <c r="O3" i="2"/>
  <c r="D3" i="2"/>
  <c r="C3" i="2"/>
  <c r="B3" i="2"/>
  <c r="A3" i="2"/>
  <c r="G8" i="5" l="1"/>
  <c r="F8" i="5"/>
  <c r="C9" i="5"/>
  <c r="G6" i="5"/>
  <c r="F6" i="5"/>
  <c r="G5" i="5"/>
  <c r="F5" i="5"/>
  <c r="F4" i="5"/>
  <c r="G4" i="5"/>
  <c r="F3" i="5"/>
  <c r="G3" i="5"/>
  <c r="E2" i="5"/>
  <c r="F2" i="5" s="1"/>
  <c r="D10" i="5"/>
  <c r="D11" i="5" s="1"/>
  <c r="D12" i="5" s="1"/>
  <c r="G2" i="5"/>
  <c r="O4" i="5"/>
  <c r="C10" i="5"/>
  <c r="C11" i="5" s="1"/>
  <c r="C12" i="5" s="1"/>
  <c r="O9" i="5"/>
  <c r="O10" i="5" s="1"/>
  <c r="F8" i="4"/>
  <c r="D9" i="4"/>
  <c r="D10" i="4"/>
  <c r="D11" i="4" s="1"/>
  <c r="D12" i="4" s="1"/>
  <c r="E8" i="4"/>
  <c r="C9" i="4"/>
  <c r="O11" i="4"/>
  <c r="O12" i="4" s="1"/>
  <c r="C10" i="4"/>
  <c r="C11" i="4" s="1"/>
  <c r="C12" i="4" s="1"/>
  <c r="G7" i="4"/>
  <c r="H7" i="4"/>
  <c r="E6" i="4"/>
  <c r="E5" i="4"/>
  <c r="O4" i="4" s="1"/>
  <c r="E4" i="4"/>
  <c r="E3" i="4"/>
  <c r="I2" i="4"/>
  <c r="G2" i="4"/>
  <c r="H2" i="4"/>
  <c r="E9" i="3"/>
  <c r="C10" i="3"/>
  <c r="E8" i="3"/>
  <c r="E7" i="3"/>
  <c r="G6" i="3"/>
  <c r="H6" i="3"/>
  <c r="E5" i="3"/>
  <c r="F4" i="3"/>
  <c r="I4" i="3" s="1"/>
  <c r="D11" i="3"/>
  <c r="D12" i="3" s="1"/>
  <c r="D13" i="3" s="1"/>
  <c r="O11" i="3"/>
  <c r="O12" i="3" s="1"/>
  <c r="C11" i="3"/>
  <c r="C12" i="3" s="1"/>
  <c r="C13" i="3" s="1"/>
  <c r="E4" i="3"/>
  <c r="I3" i="3"/>
  <c r="O4" i="3"/>
  <c r="E3" i="3"/>
  <c r="E9" i="2"/>
  <c r="G9" i="2"/>
  <c r="C10" i="2"/>
  <c r="G8" i="2"/>
  <c r="E8" i="2"/>
  <c r="E7" i="2"/>
  <c r="G7" i="2"/>
  <c r="G6" i="2"/>
  <c r="E6" i="2"/>
  <c r="G5" i="2"/>
  <c r="E5" i="2"/>
  <c r="E4" i="2"/>
  <c r="G4" i="2"/>
  <c r="D11" i="2"/>
  <c r="D12" i="2" s="1"/>
  <c r="D13" i="2" s="1"/>
  <c r="O4" i="2"/>
  <c r="F3" i="2"/>
  <c r="O5" i="2"/>
  <c r="E3" i="2"/>
  <c r="C11" i="2"/>
  <c r="C12" i="2" s="1"/>
  <c r="C13" i="2" s="1"/>
  <c r="G3" i="2"/>
  <c r="H2" i="5" l="1"/>
  <c r="O3" i="5"/>
  <c r="G8" i="4"/>
  <c r="H8" i="4"/>
  <c r="G6" i="4"/>
  <c r="H6" i="4"/>
  <c r="G5" i="4"/>
  <c r="H5" i="4"/>
  <c r="G4" i="4"/>
  <c r="H4" i="4"/>
  <c r="G3" i="4"/>
  <c r="H3" i="4"/>
  <c r="G9" i="3"/>
  <c r="H9" i="3"/>
  <c r="G8" i="3"/>
  <c r="H8" i="3"/>
  <c r="G7" i="3"/>
  <c r="H7" i="3"/>
  <c r="G5" i="3"/>
  <c r="H5" i="3"/>
  <c r="G4" i="3"/>
  <c r="H4" i="3"/>
  <c r="O6" i="3"/>
  <c r="O8" i="3" s="1"/>
  <c r="O7" i="3"/>
  <c r="G3" i="3"/>
  <c r="H3" i="3"/>
  <c r="O5" i="3"/>
  <c r="O6" i="2"/>
  <c r="O7" i="2"/>
  <c r="I8" i="4"/>
  <c r="O3" i="4"/>
  <c r="O5" i="5" l="1"/>
  <c r="O7" i="5" s="1"/>
  <c r="O8" i="5" s="1"/>
  <c r="O6" i="5"/>
  <c r="O6" i="4"/>
  <c r="O5" i="4"/>
  <c r="O7" i="4" s="1"/>
  <c r="O9" i="3"/>
  <c r="O10" i="3" s="1"/>
  <c r="O8" i="2"/>
  <c r="I8" i="5" l="1"/>
  <c r="J8" i="5" s="1"/>
  <c r="I6" i="5"/>
  <c r="J6" i="5" s="1"/>
  <c r="I5" i="5"/>
  <c r="J5" i="5" s="1"/>
  <c r="I3" i="5"/>
  <c r="J3" i="5" s="1"/>
  <c r="I4" i="5"/>
  <c r="J4" i="5" s="1"/>
  <c r="I2" i="5"/>
  <c r="J2" i="5" s="1"/>
  <c r="I7" i="5"/>
  <c r="J7" i="5" s="1"/>
  <c r="O16" i="5"/>
  <c r="O8" i="4"/>
  <c r="O9" i="4" s="1"/>
  <c r="O10" i="4"/>
  <c r="O18" i="3"/>
  <c r="J8" i="3"/>
  <c r="K8" i="3" s="1"/>
  <c r="J7" i="3"/>
  <c r="K7" i="3" s="1"/>
  <c r="J6" i="3"/>
  <c r="K6" i="3" s="1"/>
  <c r="J5" i="3"/>
  <c r="K5" i="3" s="1"/>
  <c r="J4" i="3"/>
  <c r="K4" i="3" s="1"/>
  <c r="J3" i="3"/>
  <c r="K3" i="3" s="1"/>
  <c r="J9" i="3"/>
  <c r="K9" i="3" s="1"/>
  <c r="O10" i="2"/>
  <c r="O11" i="2" s="1"/>
  <c r="O13" i="2" s="1"/>
  <c r="O9" i="2"/>
  <c r="L8" i="5" l="1"/>
  <c r="K8" i="5"/>
  <c r="L6" i="5"/>
  <c r="K6" i="5"/>
  <c r="L5" i="5"/>
  <c r="K5" i="5"/>
  <c r="L3" i="5"/>
  <c r="K3" i="5"/>
  <c r="K4" i="5"/>
  <c r="L4" i="5"/>
  <c r="L2" i="5"/>
  <c r="O14" i="5" s="1"/>
  <c r="K2" i="5"/>
  <c r="K7" i="5"/>
  <c r="L7" i="5"/>
  <c r="J8" i="4"/>
  <c r="K8" i="4" s="1"/>
  <c r="J6" i="4"/>
  <c r="K6" i="4" s="1"/>
  <c r="J5" i="4"/>
  <c r="K5" i="4" s="1"/>
  <c r="J4" i="4"/>
  <c r="K4" i="4" s="1"/>
  <c r="J2" i="4"/>
  <c r="K2" i="4" s="1"/>
  <c r="J3" i="4"/>
  <c r="K3" i="4" s="1"/>
  <c r="O18" i="4"/>
  <c r="J7" i="4"/>
  <c r="K7" i="4" s="1"/>
  <c r="M8" i="3"/>
  <c r="L8" i="3"/>
  <c r="M7" i="3"/>
  <c r="L7" i="3"/>
  <c r="L6" i="3"/>
  <c r="M6" i="3"/>
  <c r="M5" i="3"/>
  <c r="L5" i="3"/>
  <c r="M4" i="3"/>
  <c r="L4" i="3"/>
  <c r="M3" i="3"/>
  <c r="O16" i="3" s="1"/>
  <c r="L3" i="3"/>
  <c r="O13" i="3" s="1"/>
  <c r="O14" i="3" s="1"/>
  <c r="L9" i="3"/>
  <c r="M9" i="3"/>
  <c r="H9" i="2"/>
  <c r="I9" i="2" s="1"/>
  <c r="O14" i="2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M8" i="4" l="1"/>
  <c r="L8" i="4"/>
  <c r="M6" i="4"/>
  <c r="L6" i="4"/>
  <c r="M5" i="4"/>
  <c r="L5" i="4"/>
  <c r="M4" i="4"/>
  <c r="L4" i="4"/>
  <c r="L2" i="4"/>
  <c r="O13" i="4" s="1"/>
  <c r="O14" i="4" s="1"/>
  <c r="M2" i="4"/>
  <c r="O16" i="4" s="1"/>
  <c r="M3" i="4"/>
  <c r="L3" i="4"/>
  <c r="M7" i="4"/>
  <c r="L7" i="4"/>
  <c r="O15" i="3"/>
  <c r="O17" i="3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O11" i="5"/>
  <c r="O12" i="5" s="1"/>
  <c r="O15" i="4" l="1"/>
  <c r="O17" i="4"/>
  <c r="O15" i="5"/>
  <c r="O13" i="5"/>
  <c r="O12" i="2"/>
</calcChain>
</file>

<file path=xl/sharedStrings.xml><?xml version="1.0" encoding="utf-8"?>
<sst xmlns="http://schemas.openxmlformats.org/spreadsheetml/2006/main" count="147" uniqueCount="60">
  <si>
    <t>№</t>
  </si>
  <si>
    <t>Район</t>
  </si>
  <si>
    <t>y, %</t>
  </si>
  <si>
    <t>x, руб.</t>
  </si>
  <si>
    <t>Удмуртская респ.</t>
  </si>
  <si>
    <t>Свердловская обл.</t>
  </si>
  <si>
    <t>Башкортостан</t>
  </si>
  <si>
    <t>Челябинская обл.</t>
  </si>
  <si>
    <t>Пермская обл.</t>
  </si>
  <si>
    <t>Курганская обл.</t>
  </si>
  <si>
    <t>Оренбургская обл.</t>
  </si>
  <si>
    <t>y</t>
  </si>
  <si>
    <t>x</t>
  </si>
  <si>
    <t>xy</t>
  </si>
  <si>
    <t>x²</t>
  </si>
  <si>
    <t>y²</t>
  </si>
  <si>
    <t>ŷ</t>
  </si>
  <si>
    <t>y - ŷ</t>
  </si>
  <si>
    <t>(y - ŷ)²</t>
  </si>
  <si>
    <t>Aᵢ, %</t>
  </si>
  <si>
    <t>Показатель</t>
  </si>
  <si>
    <t>Значение</t>
  </si>
  <si>
    <t>n</t>
  </si>
  <si>
    <t>x̄</t>
  </si>
  <si>
    <t>ȳ</t>
  </si>
  <si>
    <t>cov(x,y)</t>
  </si>
  <si>
    <t>σ²x</t>
  </si>
  <si>
    <t>b</t>
  </si>
  <si>
    <t>a</t>
  </si>
  <si>
    <t>Итого</t>
  </si>
  <si>
    <t>rxy</t>
  </si>
  <si>
    <t>Среднее</t>
  </si>
  <si>
    <t>R²</t>
  </si>
  <si>
    <t>Дисперсия</t>
  </si>
  <si>
    <t>Ā, %</t>
  </si>
  <si>
    <t>Станд. откл.</t>
  </si>
  <si>
    <t>Fфакт</t>
  </si>
  <si>
    <t>Уравнение</t>
  </si>
  <si>
    <t>Y=lg y</t>
  </si>
  <si>
    <t>X=lg x</t>
  </si>
  <si>
    <t>YX</t>
  </si>
  <si>
    <t>Y²</t>
  </si>
  <si>
    <t>X²</t>
  </si>
  <si>
    <t>X̄</t>
  </si>
  <si>
    <t>Ȳ</t>
  </si>
  <si>
    <t>cov(X,Y)</t>
  </si>
  <si>
    <t>σ²X</t>
  </si>
  <si>
    <t>C=lg a</t>
  </si>
  <si>
    <t>a=10^C</t>
  </si>
  <si>
    <t>SST</t>
  </si>
  <si>
    <t>SSE</t>
  </si>
  <si>
    <t>ρ</t>
  </si>
  <si>
    <t>X=x</t>
  </si>
  <si>
    <t>B=lg b</t>
  </si>
  <si>
    <t>b=10^B</t>
  </si>
  <si>
    <t>X=1/x</t>
  </si>
  <si>
    <t>cov(X,y)</t>
  </si>
  <si>
    <t>Исходные данные для расчета моделей</t>
  </si>
  <si>
    <t>Линейная модель: расчетные показатели</t>
  </si>
  <si>
    <t>Степенная модель: логарифмическая линеаризация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</si>
</sst>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>
    <font>
      <sz val="11"/>
      <color rgb="FF000000"/>
      <name val="Carlito"/>
    </font>
    <font>
      <sz val="11"/>
      <color theme="1"/>
      <name val="Carlito"/>
    </font>
    <font>
      <b/>
      <sz val="11"/>
      <color rgb="FF1F2937"/>
      <name val="Carlito"/>
    </font>
    <font>
      <b/>
      <sz val="14"/>
      <color rgb="FF344E41"/>
      <name val="Carlito"/>
    </font>
    <font>
      <b/>
      <sz val="11"/>
      <color rgb="FF263238"/>
      <name val="Carlito"/>
    </font>
    <font>
      <sz val="11"/>
      <color rgb="FF263238"/>
      <name val="Carlito"/>
    </font>
    <font>
      <sz val="11"/>
      <color rgb="FF26323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AF0F6"/>
      </patternFill>
    </fill>
    <fill>
      <patternFill patternType="solid">
        <fgColor rgb="FFF3F4F6"/>
      </patternFill>
    </fill>
    <fill>
      <patternFill patternType="solid">
        <fgColor rgb="FFE7EFE9"/>
      </patternFill>
    </fill>
    <fill>
      <patternFill patternType="solid">
        <fgColor rgb="FFEEE8D8"/>
      </patternFill>
    </fill>
    <fill>
      <patternFill patternType="solid">
        <fgColor rgb="FFF4EFE6"/>
      </patternFill>
    </fill>
  </fills>
  <borders count="2">
    <border>
      <left/>
      <right/>
      <top/>
      <bottom/>
      <diagonal/>
    </border>
    <border>
      <left style="thin">
        <color rgb="FFD8D2C3"/>
      </left>
      <right style="thin">
        <color rgb="FFD8D2C3"/>
      </right>
      <top style="thin">
        <color rgb="FFD8D2C3"/>
      </top>
      <bottom style="thin">
        <color rgb="FFD8D2C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vertical="center" wrapText="1"/>
    </xf>
    <xf numFmtId="49" fontId="6" fillId="6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abSelected="1" workbookViewId="0">
      <selection sqref="A1:D1"/>
    </sheetView>
  </sheetViews>
  <sheetFormatPr defaultColWidth="12.625" defaultRowHeight="14.25"/>
  <cols>
    <col min="1" max="1" width="8" customWidth="1"/>
    <col min="2" max="2" width="24" customWidth="1"/>
    <col min="3" max="4" width="12" customWidth="1"/>
    <col min="5" max="26" width="8.625" customWidth="1"/>
  </cols>
  <sheetData>
    <row r="1" spans="1:15" ht="18">
      <c r="A1" s="18" t="s">
        <v>57</v>
      </c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>
      <c r="A2" s="4" t="s">
        <v>0</v>
      </c>
      <c r="B2" s="4" t="s">
        <v>1</v>
      </c>
      <c r="C2" s="4" t="s">
        <v>2</v>
      </c>
      <c r="D2" s="4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5">
        <v>1</v>
      </c>
      <c r="B3" s="5" t="s">
        <v>4</v>
      </c>
      <c r="C3" s="6">
        <v>68.8</v>
      </c>
      <c r="D3" s="6">
        <v>45.1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5">
        <v>2</v>
      </c>
      <c r="B4" s="5" t="s">
        <v>5</v>
      </c>
      <c r="C4" s="6">
        <v>61.2</v>
      </c>
      <c r="D4" s="6">
        <v>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5">
        <v>3</v>
      </c>
      <c r="B5" s="5" t="s">
        <v>6</v>
      </c>
      <c r="C5" s="6">
        <v>59.9</v>
      </c>
      <c r="D5" s="6">
        <v>57.2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5">
        <v>4</v>
      </c>
      <c r="B6" s="5" t="s">
        <v>7</v>
      </c>
      <c r="C6" s="6">
        <v>56.7</v>
      </c>
      <c r="D6" s="6">
        <v>61.8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5">
        <v>5</v>
      </c>
      <c r="B7" s="5" t="s">
        <v>8</v>
      </c>
      <c r="C7" s="6">
        <v>55</v>
      </c>
      <c r="D7" s="6">
        <v>58.8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5">
        <v>6</v>
      </c>
      <c r="B8" s="5" t="s">
        <v>9</v>
      </c>
      <c r="C8" s="6">
        <v>54.3</v>
      </c>
      <c r="D8" s="6">
        <v>47.2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5">
        <v>7</v>
      </c>
      <c r="B9" s="5" t="s">
        <v>10</v>
      </c>
      <c r="C9" s="6">
        <v>49.3</v>
      </c>
      <c r="D9" s="6">
        <v>55.2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9"/>
  <sheetViews>
    <sheetView workbookViewId="0">
      <selection sqref="A1:O1"/>
    </sheetView>
  </sheetViews>
  <sheetFormatPr defaultColWidth="12.625" defaultRowHeight="14.25"/>
  <cols>
    <col min="1" max="1" width="6" customWidth="1"/>
    <col min="2" max="2" width="24" customWidth="1"/>
    <col min="3" max="4" width="10" customWidth="1"/>
    <col min="5" max="11" width="12" customWidth="1"/>
    <col min="12" max="13" width="3" customWidth="1"/>
    <col min="14" max="14" width="20" customWidth="1"/>
    <col min="15" max="15" width="28" customWidth="1"/>
    <col min="16" max="26" width="8.625" customWidth="1"/>
  </cols>
  <sheetData>
    <row r="1" spans="1:15" ht="18">
      <c r="A1" s="18" t="s">
        <v>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5">
      <c r="A2" s="7" t="s">
        <v>0</v>
      </c>
      <c r="B2" s="7" t="s">
        <v>1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1"/>
      <c r="M2" s="1"/>
      <c r="N2" s="13" t="s">
        <v>20</v>
      </c>
      <c r="O2" s="13" t="s">
        <v>21</v>
      </c>
    </row>
    <row r="3" spans="1:15" ht="15" customHeight="1">
      <c r="A3" s="8">
        <f>'Исходные данные'!A3</f>
        <v>1</v>
      </c>
      <c r="B3" s="5" t="str">
        <f>'Исходные данные'!B3</f>
        <v>Удмуртская респ.</v>
      </c>
      <c r="C3" s="6">
        <f>'Исходные данные'!C3</f>
        <v>68.8</v>
      </c>
      <c r="D3" s="6">
        <f>'Исходные данные'!D3</f>
        <v>45.1</v>
      </c>
      <c r="E3" s="9">
        <f t="shared" ref="E3:E9" si="0">C3*D3</f>
        <v>3102.88</v>
      </c>
      <c r="F3" s="9">
        <f t="shared" ref="F3:F9" si="1">D3^2</f>
        <v>2034.0100000000002</v>
      </c>
      <c r="G3" s="9">
        <f t="shared" ref="G3:G9" si="2">C3^2</f>
        <v>4733.4399999999996</v>
      </c>
      <c r="H3" s="9">
        <f t="shared" ref="H3:H9" si="3">$O$9+$O$8*D3</f>
        <v>61.275795004695766</v>
      </c>
      <c r="I3" s="9">
        <f t="shared" ref="I3:I9" si="4">C3-H3</f>
        <v>7.5242049953042311</v>
      </c>
      <c r="J3" s="9">
        <f t="shared" ref="J3:J9" si="5">I3^2</f>
        <v>56.613660811361143</v>
      </c>
      <c r="K3" s="9">
        <f t="shared" ref="K3:K9" si="6">ABS(I3/C3)*100</f>
        <v>10.936344469918941</v>
      </c>
      <c r="L3" s="3"/>
      <c r="M3" s="3"/>
      <c r="N3" s="14" t="s">
        <v>22</v>
      </c>
      <c r="O3" s="14">
        <f>COUNT(C3:C9)</f>
        <v>7</v>
      </c>
    </row>
    <row r="4" spans="1:15" ht="15" customHeight="1">
      <c r="A4" s="8">
        <f>'Исходные данные'!A4</f>
        <v>2</v>
      </c>
      <c r="B4" s="5" t="str">
        <f>'Исходные данные'!B4</f>
        <v>Свердловская обл.</v>
      </c>
      <c r="C4" s="6">
        <f>'Исходные данные'!C4</f>
        <v>61.2</v>
      </c>
      <c r="D4" s="6">
        <f>'Исходные данные'!D4</f>
        <v>59</v>
      </c>
      <c r="E4" s="9">
        <f t="shared" si="0"/>
        <v>3610.8</v>
      </c>
      <c r="F4" s="9">
        <f t="shared" si="1"/>
        <v>3481</v>
      </c>
      <c r="G4" s="9">
        <f t="shared" si="2"/>
        <v>3745.4400000000005</v>
      </c>
      <c r="H4" s="9">
        <f t="shared" si="3"/>
        <v>56.467415209405729</v>
      </c>
      <c r="I4" s="9">
        <f t="shared" si="4"/>
        <v>4.7325847905942737</v>
      </c>
      <c r="J4" s="9">
        <f t="shared" si="5"/>
        <v>22.397358800164245</v>
      </c>
      <c r="K4" s="9">
        <f t="shared" si="6"/>
        <v>7.732981683977572</v>
      </c>
      <c r="L4" s="3"/>
      <c r="M4" s="3"/>
      <c r="N4" s="14" t="s">
        <v>23</v>
      </c>
      <c r="O4" s="14">
        <f>AVERAGE(D3:D9)</f>
        <v>54.9</v>
      </c>
    </row>
    <row r="5" spans="1:15" ht="15" customHeight="1">
      <c r="A5" s="8">
        <f>'Исходные данные'!A5</f>
        <v>3</v>
      </c>
      <c r="B5" s="5" t="str">
        <f>'Исходные данные'!B5</f>
        <v>Башкортостан</v>
      </c>
      <c r="C5" s="6">
        <f>'Исходные данные'!C5</f>
        <v>59.9</v>
      </c>
      <c r="D5" s="6">
        <f>'Исходные данные'!D5</f>
        <v>57.2</v>
      </c>
      <c r="E5" s="9">
        <f t="shared" si="0"/>
        <v>3426.28</v>
      </c>
      <c r="F5" s="9">
        <f t="shared" si="1"/>
        <v>3271.84</v>
      </c>
      <c r="G5" s="9">
        <f t="shared" si="2"/>
        <v>3588.0099999999998</v>
      </c>
      <c r="H5" s="9">
        <f t="shared" si="3"/>
        <v>57.090083096565586</v>
      </c>
      <c r="I5" s="9">
        <f t="shared" si="4"/>
        <v>2.8099169034344129</v>
      </c>
      <c r="J5" s="9">
        <f t="shared" si="5"/>
        <v>7.8956330042064398</v>
      </c>
      <c r="K5" s="9">
        <f t="shared" si="6"/>
        <v>4.6910131943813234</v>
      </c>
      <c r="L5" s="3"/>
      <c r="M5" s="3"/>
      <c r="N5" s="14" t="s">
        <v>24</v>
      </c>
      <c r="O5" s="14">
        <f>AVERAGE(C3:C9)</f>
        <v>57.885714285714293</v>
      </c>
    </row>
    <row r="6" spans="1:15" ht="15" customHeight="1">
      <c r="A6" s="8">
        <f>'Исходные данные'!A6</f>
        <v>4</v>
      </c>
      <c r="B6" s="5" t="str">
        <f>'Исходные данные'!B6</f>
        <v>Челябинская обл.</v>
      </c>
      <c r="C6" s="6">
        <f>'Исходные данные'!C6</f>
        <v>56.7</v>
      </c>
      <c r="D6" s="6">
        <f>'Исходные данные'!D6</f>
        <v>61.8</v>
      </c>
      <c r="E6" s="9">
        <f t="shared" si="0"/>
        <v>3504.06</v>
      </c>
      <c r="F6" s="9">
        <f t="shared" si="1"/>
        <v>3819.24</v>
      </c>
      <c r="G6" s="9">
        <f t="shared" si="2"/>
        <v>3214.8900000000003</v>
      </c>
      <c r="H6" s="9">
        <f t="shared" si="3"/>
        <v>55.498820718268163</v>
      </c>
      <c r="I6" s="9">
        <f t="shared" si="4"/>
        <v>1.2011792817318394</v>
      </c>
      <c r="J6" s="9">
        <f t="shared" si="5"/>
        <v>1.4428316668618177</v>
      </c>
      <c r="K6" s="9">
        <f t="shared" si="6"/>
        <v>2.1184819783630324</v>
      </c>
      <c r="L6" s="3"/>
      <c r="M6" s="3"/>
      <c r="N6" s="14" t="s">
        <v>25</v>
      </c>
      <c r="O6" s="14">
        <f>AVERAGE(E3:E9)-O4*O5</f>
        <v>-11.877142857143099</v>
      </c>
    </row>
    <row r="7" spans="1:15" ht="15" customHeight="1">
      <c r="A7" s="8">
        <f>'Исходные данные'!A7</f>
        <v>5</v>
      </c>
      <c r="B7" s="5" t="str">
        <f>'Исходные данные'!B7</f>
        <v>Пермская обл.</v>
      </c>
      <c r="C7" s="6">
        <f>'Исходные данные'!C7</f>
        <v>55</v>
      </c>
      <c r="D7" s="6">
        <f>'Исходные данные'!D7</f>
        <v>58.8</v>
      </c>
      <c r="E7" s="9">
        <f t="shared" si="0"/>
        <v>3234</v>
      </c>
      <c r="F7" s="9">
        <f t="shared" si="1"/>
        <v>3457.4399999999996</v>
      </c>
      <c r="G7" s="9">
        <f t="shared" si="2"/>
        <v>3025</v>
      </c>
      <c r="H7" s="9">
        <f t="shared" si="3"/>
        <v>56.53660053020127</v>
      </c>
      <c r="I7" s="9">
        <f t="shared" si="4"/>
        <v>-1.5366005302012695</v>
      </c>
      <c r="J7" s="9">
        <f t="shared" si="5"/>
        <v>2.3611411894148224</v>
      </c>
      <c r="K7" s="9">
        <f t="shared" si="6"/>
        <v>2.79381914582049</v>
      </c>
      <c r="L7" s="3"/>
      <c r="M7" s="3"/>
      <c r="N7" s="14" t="s">
        <v>26</v>
      </c>
      <c r="O7" s="14">
        <f>AVERAGE(F3:F9)-O4^2</f>
        <v>34.334285714286125</v>
      </c>
    </row>
    <row r="8" spans="1:15" ht="15" customHeight="1">
      <c r="A8" s="8">
        <f>'Исходные данные'!A8</f>
        <v>6</v>
      </c>
      <c r="B8" s="5" t="str">
        <f>'Исходные данные'!B8</f>
        <v>Курганская обл.</v>
      </c>
      <c r="C8" s="6">
        <f>'Исходные данные'!C8</f>
        <v>54.3</v>
      </c>
      <c r="D8" s="6">
        <f>'Исходные данные'!D8</f>
        <v>47.2</v>
      </c>
      <c r="E8" s="9">
        <f t="shared" si="0"/>
        <v>2562.96</v>
      </c>
      <c r="F8" s="9">
        <f t="shared" si="1"/>
        <v>2227.84</v>
      </c>
      <c r="G8" s="9">
        <f t="shared" si="2"/>
        <v>2948.49</v>
      </c>
      <c r="H8" s="9">
        <f t="shared" si="3"/>
        <v>60.549349136342599</v>
      </c>
      <c r="I8" s="9">
        <f t="shared" si="4"/>
        <v>-6.2493491363426017</v>
      </c>
      <c r="J8" s="9">
        <f t="shared" si="5"/>
        <v>39.054364627906018</v>
      </c>
      <c r="K8" s="9">
        <f t="shared" si="6"/>
        <v>11.508930269507553</v>
      </c>
      <c r="L8" s="3"/>
      <c r="M8" s="3"/>
      <c r="N8" s="14" t="s">
        <v>27</v>
      </c>
      <c r="O8" s="14">
        <f>O6/O7</f>
        <v>-0.34592660397770114</v>
      </c>
    </row>
    <row r="9" spans="1:15" ht="15" customHeight="1">
      <c r="A9" s="8">
        <f>'Исходные данные'!A9</f>
        <v>7</v>
      </c>
      <c r="B9" s="5" t="str">
        <f>'Исходные данные'!B9</f>
        <v>Оренбургская обл.</v>
      </c>
      <c r="C9" s="6">
        <f>'Исходные данные'!C9</f>
        <v>49.3</v>
      </c>
      <c r="D9" s="6">
        <f>'Исходные данные'!D9</f>
        <v>55.2</v>
      </c>
      <c r="E9" s="9">
        <f t="shared" si="0"/>
        <v>2721.36</v>
      </c>
      <c r="F9" s="9">
        <f t="shared" si="1"/>
        <v>3047.0400000000004</v>
      </c>
      <c r="G9" s="9">
        <f t="shared" si="2"/>
        <v>2430.4899999999998</v>
      </c>
      <c r="H9" s="9">
        <f t="shared" si="3"/>
        <v>57.78193630452099</v>
      </c>
      <c r="I9" s="9">
        <f t="shared" si="4"/>
        <v>-8.4819363045209926</v>
      </c>
      <c r="J9" s="9">
        <f t="shared" si="5"/>
        <v>71.943243473951227</v>
      </c>
      <c r="K9" s="9">
        <f t="shared" si="6"/>
        <v>17.204738954403638</v>
      </c>
      <c r="L9" s="3"/>
      <c r="M9" s="3"/>
      <c r="N9" s="14" t="s">
        <v>28</v>
      </c>
      <c r="O9" s="14">
        <f>O5-O8*O4</f>
        <v>76.877084844090092</v>
      </c>
    </row>
    <row r="10" spans="1:15" ht="15" customHeight="1">
      <c r="A10" s="10" t="s">
        <v>29</v>
      </c>
      <c r="B10" s="10"/>
      <c r="C10" s="11">
        <f t="shared" ref="C10:D10" si="7">SUM(C3:C9)</f>
        <v>405.20000000000005</v>
      </c>
      <c r="D10" s="11">
        <f t="shared" si="7"/>
        <v>384.3</v>
      </c>
      <c r="E10" s="12"/>
      <c r="F10" s="12"/>
      <c r="G10" s="12"/>
      <c r="H10" s="12"/>
      <c r="I10" s="12"/>
      <c r="J10" s="12"/>
      <c r="K10" s="12"/>
      <c r="L10" s="3"/>
      <c r="M10" s="3"/>
      <c r="N10" s="14" t="s">
        <v>30</v>
      </c>
      <c r="O10" s="14">
        <f>O8*SQRT(O7)/SQRT(AVERAGE(G3:G9)-O5^2)</f>
        <v>-0.35325729317080473</v>
      </c>
    </row>
    <row r="11" spans="1:15" ht="26.45" customHeight="1">
      <c r="A11" s="10" t="s">
        <v>31</v>
      </c>
      <c r="B11" s="10"/>
      <c r="C11" s="11">
        <f t="shared" ref="C11:D11" si="8">AVERAGE(C3:C9)</f>
        <v>57.885714285714293</v>
      </c>
      <c r="D11" s="11">
        <f t="shared" si="8"/>
        <v>54.9</v>
      </c>
      <c r="E11" s="12"/>
      <c r="F11" s="12"/>
      <c r="G11" s="12"/>
      <c r="H11" s="12"/>
      <c r="I11" s="12"/>
      <c r="J11" s="12"/>
      <c r="K11" s="12"/>
      <c r="L11" s="3"/>
      <c r="M11" s="3"/>
      <c r="N11" s="14" t="s">
        <v>32</v>
      </c>
      <c r="O11" s="14">
        <f>O10^2</f>
        <v>0.12479071517836389</v>
      </c>
    </row>
    <row r="12" spans="1:15" ht="26.45" customHeight="1">
      <c r="A12" s="10" t="s">
        <v>33</v>
      </c>
      <c r="B12" s="10"/>
      <c r="C12" s="11">
        <f t="shared" ref="C12:D12" si="9">SUMPRODUCT((C3:C9-C11)^2)/COUNT(C3:C9)</f>
        <v>32.924081632653056</v>
      </c>
      <c r="D12" s="11">
        <f t="shared" si="9"/>
        <v>34.334285714285699</v>
      </c>
      <c r="E12" s="12"/>
      <c r="F12" s="12"/>
      <c r="G12" s="12"/>
      <c r="H12" s="12"/>
      <c r="I12" s="12"/>
      <c r="J12" s="12"/>
      <c r="K12" s="12"/>
      <c r="L12" s="3"/>
      <c r="M12" s="3"/>
      <c r="N12" s="14" t="s">
        <v>34</v>
      </c>
      <c r="O12" s="14">
        <f>AVERAGE(K3:K9)</f>
        <v>8.140901385196079</v>
      </c>
    </row>
    <row r="13" spans="1:15" ht="26.45" customHeight="1">
      <c r="A13" s="10" t="s">
        <v>35</v>
      </c>
      <c r="B13" s="10"/>
      <c r="C13" s="11">
        <f t="shared" ref="C13:D13" si="10">SQRT(C12)</f>
        <v>5.7379509960135646</v>
      </c>
      <c r="D13" s="11">
        <f t="shared" si="10"/>
        <v>5.8595465451078805</v>
      </c>
      <c r="E13" s="12"/>
      <c r="F13" s="12"/>
      <c r="G13" s="12"/>
      <c r="H13" s="12"/>
      <c r="I13" s="12"/>
      <c r="J13" s="12"/>
      <c r="K13" s="12"/>
      <c r="L13" s="3"/>
      <c r="M13" s="3"/>
      <c r="N13" s="14" t="s">
        <v>36</v>
      </c>
      <c r="O13" s="14">
        <f>O11/(1-O11)*(O3-2)</f>
        <v>0.71291928309350439</v>
      </c>
    </row>
    <row r="14" spans="1:15">
      <c r="A14" s="1"/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4" t="s">
        <v>37</v>
      </c>
      <c r="O14" s="15" t="str">
        <f>"ŷ = "&amp;TEXT(O9,"0.00")&amp;" + ("&amp;TEXT(O8,"0.000")&amp;")·x"</f>
        <v>ŷ = 76.88 + (-0.346)·x</v>
      </c>
    </row>
    <row r="15" spans="1:15">
      <c r="A15" s="1"/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1"/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1"/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1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9"/>
  <sheetViews>
    <sheetView workbookViewId="0">
      <selection activeCell="F33" sqref="F33"/>
    </sheetView>
  </sheetViews>
  <sheetFormatPr defaultColWidth="12.625" defaultRowHeight="14.25"/>
  <cols>
    <col min="1" max="1" width="6" customWidth="1"/>
    <col min="2" max="2" width="24" customWidth="1"/>
    <col min="3" max="4" width="10" customWidth="1"/>
    <col min="5" max="13" width="12" customWidth="1"/>
    <col min="14" max="14" width="20" customWidth="1"/>
    <col min="15" max="15" width="28" customWidth="1"/>
    <col min="16" max="26" width="8.625" customWidth="1"/>
  </cols>
  <sheetData>
    <row r="1" spans="1:15" ht="18">
      <c r="A1" s="18" t="s">
        <v>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5">
      <c r="A2" s="7" t="s">
        <v>0</v>
      </c>
      <c r="B2" s="7" t="s">
        <v>1</v>
      </c>
      <c r="C2" s="7" t="s">
        <v>11</v>
      </c>
      <c r="D2" s="7" t="s">
        <v>12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</row>
    <row r="3" spans="1:15" ht="15" customHeight="1">
      <c r="A3" s="8">
        <f>'Исходные данные'!A3</f>
        <v>1</v>
      </c>
      <c r="B3" s="5" t="str">
        <f>'Исходные данные'!B3</f>
        <v>Удмуртская респ.</v>
      </c>
      <c r="C3" s="6">
        <f>'Исходные данные'!C3</f>
        <v>68.8</v>
      </c>
      <c r="D3" s="6">
        <f>'Исходные данные'!D3</f>
        <v>45.1</v>
      </c>
      <c r="E3" s="9">
        <f t="shared" ref="E3:F3" si="0">LOG10(C3)</f>
        <v>1.8375884382355112</v>
      </c>
      <c r="F3" s="9">
        <f t="shared" si="0"/>
        <v>1.6541765418779606</v>
      </c>
      <c r="G3" s="9">
        <f t="shared" ref="G3:G9" si="1">E3*F3</f>
        <v>3.0396956881553403</v>
      </c>
      <c r="H3" s="9">
        <f t="shared" ref="H3:I3" si="2">E3^2</f>
        <v>3.3767312683368251</v>
      </c>
      <c r="I3" s="9">
        <f t="shared" si="2"/>
        <v>2.7363000316993284</v>
      </c>
      <c r="J3" s="9">
        <f t="shared" ref="J3:J9" si="3">$O$10*(D3^$O$8)</f>
        <v>60.979294134561108</v>
      </c>
      <c r="K3" s="9">
        <f t="shared" ref="K3:K9" si="4">C3-J3</f>
        <v>7.8207058654388888</v>
      </c>
      <c r="L3" s="9">
        <f t="shared" ref="L3:L9" si="5">K3^2</f>
        <v>61.16344023371024</v>
      </c>
      <c r="M3" s="9">
        <f t="shared" ref="M3:M9" si="6">ABS(K3/C3)*100</f>
        <v>11.367305036975131</v>
      </c>
      <c r="N3" s="16" t="s">
        <v>22</v>
      </c>
      <c r="O3" s="9">
        <f>COUNT(C3:C9)</f>
        <v>7</v>
      </c>
    </row>
    <row r="4" spans="1:15" ht="15" customHeight="1">
      <c r="A4" s="8">
        <f>'Исходные данные'!A4</f>
        <v>2</v>
      </c>
      <c r="B4" s="5" t="str">
        <f>'Исходные данные'!B4</f>
        <v>Свердловская обл.</v>
      </c>
      <c r="C4" s="6">
        <f>'Исходные данные'!C4</f>
        <v>61.2</v>
      </c>
      <c r="D4" s="6">
        <f>'Исходные данные'!D4</f>
        <v>59</v>
      </c>
      <c r="E4" s="9">
        <f t="shared" ref="E4:F4" si="7">LOG10(C4)</f>
        <v>1.7867514221455612</v>
      </c>
      <c r="F4" s="9">
        <f t="shared" si="7"/>
        <v>1.7708520116421442</v>
      </c>
      <c r="G4" s="9">
        <f t="shared" si="1"/>
        <v>3.1640723502109291</v>
      </c>
      <c r="H4" s="9">
        <f t="shared" ref="H4:I4" si="8">E4^2</f>
        <v>3.1924806445391853</v>
      </c>
      <c r="I4" s="9">
        <f t="shared" si="8"/>
        <v>3.1359168471370289</v>
      </c>
      <c r="J4" s="9">
        <f t="shared" si="3"/>
        <v>56.281235195232554</v>
      </c>
      <c r="K4" s="9">
        <f t="shared" si="4"/>
        <v>4.9187648047674486</v>
      </c>
      <c r="L4" s="9">
        <f t="shared" si="5"/>
        <v>24.194247204618957</v>
      </c>
      <c r="M4" s="9">
        <f t="shared" si="6"/>
        <v>8.0371973934108638</v>
      </c>
      <c r="N4" s="16" t="s">
        <v>43</v>
      </c>
      <c r="O4" s="9">
        <f>AVERAGE(F3:F9)</f>
        <v>1.7369530656916243</v>
      </c>
    </row>
    <row r="5" spans="1:15" ht="15" customHeight="1">
      <c r="A5" s="8">
        <f>'Исходные данные'!A5</f>
        <v>3</v>
      </c>
      <c r="B5" s="5" t="str">
        <f>'Исходные данные'!B5</f>
        <v>Башкортостан</v>
      </c>
      <c r="C5" s="6">
        <f>'Исходные данные'!C5</f>
        <v>59.9</v>
      </c>
      <c r="D5" s="6">
        <f>'Исходные данные'!D5</f>
        <v>57.2</v>
      </c>
      <c r="E5" s="9">
        <f t="shared" ref="E5:F5" si="9">LOG10(C5)</f>
        <v>1.7774268223893113</v>
      </c>
      <c r="F5" s="9">
        <f t="shared" si="9"/>
        <v>1.7573960287930241</v>
      </c>
      <c r="G5" s="9">
        <f t="shared" si="1"/>
        <v>3.1236428391371795</v>
      </c>
      <c r="H5" s="9">
        <f t="shared" ref="H5:I5" si="10">E5^2</f>
        <v>3.1592461089489641</v>
      </c>
      <c r="I5" s="9">
        <f t="shared" si="10"/>
        <v>3.0884408020174918</v>
      </c>
      <c r="J5" s="9">
        <f t="shared" si="3"/>
        <v>56.804038080378852</v>
      </c>
      <c r="K5" s="9">
        <f t="shared" si="4"/>
        <v>3.0959619196211463</v>
      </c>
      <c r="L5" s="9">
        <f t="shared" si="5"/>
        <v>9.5849802077442536</v>
      </c>
      <c r="M5" s="9">
        <f t="shared" si="6"/>
        <v>5.168550784008592</v>
      </c>
      <c r="N5" s="16" t="s">
        <v>44</v>
      </c>
      <c r="O5" s="9">
        <f>AVERAGE(E3:E9)</f>
        <v>1.7604798828605157</v>
      </c>
    </row>
    <row r="6" spans="1:15" ht="15" customHeight="1">
      <c r="A6" s="8">
        <f>'Исходные данные'!A6</f>
        <v>4</v>
      </c>
      <c r="B6" s="5" t="str">
        <f>'Исходные данные'!B6</f>
        <v>Челябинская обл.</v>
      </c>
      <c r="C6" s="6">
        <f>'Исходные данные'!C6</f>
        <v>56.7</v>
      </c>
      <c r="D6" s="6">
        <f>'Исходные данные'!D6</f>
        <v>61.8</v>
      </c>
      <c r="E6" s="9">
        <f t="shared" ref="E6:F6" si="11">LOG10(C6)</f>
        <v>1.7535830588929067</v>
      </c>
      <c r="F6" s="9">
        <f t="shared" si="11"/>
        <v>1.7909884750888159</v>
      </c>
      <c r="G6" s="9">
        <f t="shared" si="1"/>
        <v>3.1406470485881881</v>
      </c>
      <c r="H6" s="9">
        <f t="shared" ref="H6:I6" si="12">E6^2</f>
        <v>3.0750535444362033</v>
      </c>
      <c r="I6" s="9">
        <f t="shared" si="12"/>
        <v>3.2076397179009621</v>
      </c>
      <c r="J6" s="9">
        <f t="shared" si="3"/>
        <v>55.507851043253638</v>
      </c>
      <c r="K6" s="9">
        <f t="shared" si="4"/>
        <v>1.1921489567463652</v>
      </c>
      <c r="L6" s="9">
        <f t="shared" si="5"/>
        <v>1.4212191350714469</v>
      </c>
      <c r="M6" s="9">
        <f t="shared" si="6"/>
        <v>2.1025554792704853</v>
      </c>
      <c r="N6" s="16" t="s">
        <v>45</v>
      </c>
      <c r="O6" s="9">
        <f>AVERAGE(G3:G9)-O4*O5</f>
        <v>-6.9854343640995964E-4</v>
      </c>
    </row>
    <row r="7" spans="1:15" ht="15" customHeight="1">
      <c r="A7" s="8">
        <f>'Исходные данные'!A7</f>
        <v>5</v>
      </c>
      <c r="B7" s="5" t="str">
        <f>'Исходные данные'!B7</f>
        <v>Пермская обл.</v>
      </c>
      <c r="C7" s="6">
        <f>'Исходные данные'!C7</f>
        <v>55</v>
      </c>
      <c r="D7" s="6">
        <f>'Исходные данные'!D7</f>
        <v>58.8</v>
      </c>
      <c r="E7" s="9">
        <f t="shared" ref="E7:F7" si="13">LOG10(C7)</f>
        <v>1.7403626894942439</v>
      </c>
      <c r="F7" s="9">
        <f t="shared" si="13"/>
        <v>1.7693773260761385</v>
      </c>
      <c r="G7" s="9">
        <f t="shared" si="1"/>
        <v>3.0793582819400021</v>
      </c>
      <c r="H7" s="9">
        <f t="shared" ref="H7:I7" si="14">E7^2</f>
        <v>3.0288622909836378</v>
      </c>
      <c r="I7" s="9">
        <f t="shared" si="14"/>
        <v>3.1306961220323459</v>
      </c>
      <c r="J7" s="9">
        <f t="shared" si="3"/>
        <v>56.338295317477886</v>
      </c>
      <c r="K7" s="9">
        <f t="shared" si="4"/>
        <v>-1.3382953174778862</v>
      </c>
      <c r="L7" s="9">
        <f t="shared" si="5"/>
        <v>1.7910343567832363</v>
      </c>
      <c r="M7" s="9">
        <f t="shared" si="6"/>
        <v>2.4332642135961566</v>
      </c>
      <c r="N7" s="16" t="s">
        <v>46</v>
      </c>
      <c r="O7" s="9">
        <f>AVERAGE(I3:I9)-O4^2</f>
        <v>2.3407741699381646E-3</v>
      </c>
    </row>
    <row r="8" spans="1:15" ht="15" customHeight="1">
      <c r="A8" s="8">
        <f>'Исходные данные'!A8</f>
        <v>6</v>
      </c>
      <c r="B8" s="5" t="str">
        <f>'Исходные данные'!B8</f>
        <v>Курганская обл.</v>
      </c>
      <c r="C8" s="6">
        <f>'Исходные данные'!C8</f>
        <v>54.3</v>
      </c>
      <c r="D8" s="6">
        <f>'Исходные данные'!D8</f>
        <v>47.2</v>
      </c>
      <c r="E8" s="9">
        <f t="shared" ref="E8:F8" si="15">LOG10(C8)</f>
        <v>1.7347998295888469</v>
      </c>
      <c r="F8" s="9">
        <f t="shared" si="15"/>
        <v>1.6739419986340878</v>
      </c>
      <c r="G8" s="9">
        <f t="shared" si="1"/>
        <v>2.9039542939720291</v>
      </c>
      <c r="H8" s="9">
        <f t="shared" ref="H8:I8" si="16">E8^2</f>
        <v>3.0095304487414922</v>
      </c>
      <c r="I8" s="9">
        <f t="shared" si="16"/>
        <v>2.8020818147910842</v>
      </c>
      <c r="J8" s="9">
        <f t="shared" si="3"/>
        <v>60.156686132402179</v>
      </c>
      <c r="K8" s="9">
        <f t="shared" si="4"/>
        <v>-5.8566861324021815</v>
      </c>
      <c r="L8" s="9">
        <f t="shared" si="5"/>
        <v>34.300772453472021</v>
      </c>
      <c r="M8" s="9">
        <f t="shared" si="6"/>
        <v>10.78579398232446</v>
      </c>
      <c r="N8" s="16" t="s">
        <v>27</v>
      </c>
      <c r="O8" s="9">
        <f>O6/O7</f>
        <v>-0.29842410488851762</v>
      </c>
    </row>
    <row r="9" spans="1:15" ht="15" customHeight="1">
      <c r="A9" s="8">
        <f>'Исходные данные'!A9</f>
        <v>7</v>
      </c>
      <c r="B9" s="5" t="str">
        <f>'Исходные данные'!B9</f>
        <v>Оренбургская обл.</v>
      </c>
      <c r="C9" s="6">
        <f>'Исходные данные'!C9</f>
        <v>49.3</v>
      </c>
      <c r="D9" s="6">
        <f>'Исходные данные'!D9</f>
        <v>55.2</v>
      </c>
      <c r="E9" s="9">
        <f t="shared" ref="E9:F9" si="17">LOG10(C9)</f>
        <v>1.69284691927723</v>
      </c>
      <c r="F9" s="9">
        <f t="shared" si="17"/>
        <v>1.741939077729199</v>
      </c>
      <c r="G9" s="9">
        <f t="shared" si="1"/>
        <v>2.9488362013024938</v>
      </c>
      <c r="H9" s="9">
        <f t="shared" ref="H9:I9" si="18">E9^2</f>
        <v>2.8657306921064083</v>
      </c>
      <c r="I9" s="9">
        <f t="shared" si="18"/>
        <v>3.0343517505200523</v>
      </c>
      <c r="J9" s="9">
        <f t="shared" si="3"/>
        <v>57.410580298585657</v>
      </c>
      <c r="K9" s="9">
        <f t="shared" si="4"/>
        <v>-8.1105802985856599</v>
      </c>
      <c r="L9" s="9">
        <f t="shared" si="5"/>
        <v>65.781512779805851</v>
      </c>
      <c r="M9" s="9">
        <f t="shared" si="6"/>
        <v>16.451481335873549</v>
      </c>
      <c r="N9" s="16" t="s">
        <v>47</v>
      </c>
      <c r="O9" s="9">
        <f>O5-O8*O4</f>
        <v>2.278828546722905</v>
      </c>
    </row>
    <row r="10" spans="1:15" ht="15" customHeight="1">
      <c r="A10" s="10" t="s">
        <v>29</v>
      </c>
      <c r="B10" s="10"/>
      <c r="C10" s="11">
        <f t="shared" ref="C10:D10" si="19">SUM(C3:C9)</f>
        <v>405.20000000000005</v>
      </c>
      <c r="D10" s="11">
        <f t="shared" si="19"/>
        <v>384.3</v>
      </c>
      <c r="E10" s="12"/>
      <c r="F10" s="12"/>
      <c r="G10" s="12"/>
      <c r="H10" s="12"/>
      <c r="I10" s="12"/>
      <c r="J10" s="12"/>
      <c r="K10" s="12"/>
      <c r="L10" s="12"/>
      <c r="M10" s="12"/>
      <c r="N10" s="16" t="s">
        <v>48</v>
      </c>
      <c r="O10" s="9">
        <f>10^O9</f>
        <v>190.03279094173132</v>
      </c>
    </row>
    <row r="11" spans="1:15" ht="26.45" customHeight="1">
      <c r="A11" s="10" t="s">
        <v>31</v>
      </c>
      <c r="B11" s="10"/>
      <c r="C11" s="11">
        <f t="shared" ref="C11:D11" si="20">AVERAGE(C3:C9)</f>
        <v>57.885714285714293</v>
      </c>
      <c r="D11" s="11">
        <f t="shared" si="20"/>
        <v>54.9</v>
      </c>
      <c r="E11" s="12"/>
      <c r="F11" s="12"/>
      <c r="G11" s="12"/>
      <c r="H11" s="12"/>
      <c r="I11" s="12"/>
      <c r="J11" s="12"/>
      <c r="K11" s="12"/>
      <c r="L11" s="12"/>
      <c r="M11" s="12"/>
      <c r="N11" s="16" t="s">
        <v>24</v>
      </c>
      <c r="O11" s="9">
        <f>AVERAGE(C3:C9)</f>
        <v>57.885714285714293</v>
      </c>
    </row>
    <row r="12" spans="1:15" ht="26.45" customHeight="1">
      <c r="A12" s="10" t="s">
        <v>33</v>
      </c>
      <c r="B12" s="10"/>
      <c r="C12" s="11">
        <f t="shared" ref="C12:D12" si="21">SUMPRODUCT((C3:C9-C11)^2)/COUNT(C3:C9)</f>
        <v>32.924081632653056</v>
      </c>
      <c r="D12" s="11">
        <f t="shared" si="21"/>
        <v>34.334285714285699</v>
      </c>
      <c r="E12" s="12"/>
      <c r="F12" s="12"/>
      <c r="G12" s="12"/>
      <c r="H12" s="12"/>
      <c r="I12" s="12"/>
      <c r="J12" s="12"/>
      <c r="K12" s="12"/>
      <c r="L12" s="12"/>
      <c r="M12" s="12"/>
      <c r="N12" s="16" t="s">
        <v>49</v>
      </c>
      <c r="O12" s="9">
        <f>SUMPRODUCT((C3:C9-O11)^2)</f>
        <v>230.46857142857141</v>
      </c>
    </row>
    <row r="13" spans="1:15" ht="26.45" customHeight="1">
      <c r="A13" s="10" t="s">
        <v>35</v>
      </c>
      <c r="B13" s="10"/>
      <c r="C13" s="11">
        <f t="shared" ref="C13:D13" si="22">SQRT(C12)</f>
        <v>5.7379509960135646</v>
      </c>
      <c r="D13" s="11">
        <f t="shared" si="22"/>
        <v>5.8595465451078805</v>
      </c>
      <c r="E13" s="12"/>
      <c r="F13" s="12"/>
      <c r="G13" s="12"/>
      <c r="H13" s="12"/>
      <c r="I13" s="12"/>
      <c r="J13" s="12"/>
      <c r="K13" s="12"/>
      <c r="L13" s="12"/>
      <c r="M13" s="12"/>
      <c r="N13" s="16" t="s">
        <v>50</v>
      </c>
      <c r="O13" s="9">
        <f>SUM(L3:L9)</f>
        <v>198.23720637120601</v>
      </c>
    </row>
    <row r="14" spans="1:15" ht="15" customHeight="1">
      <c r="A14" s="5"/>
      <c r="B14" s="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6" t="s">
        <v>32</v>
      </c>
      <c r="O14" s="9">
        <f>1-O13/O12</f>
        <v>0.13985145504906638</v>
      </c>
    </row>
    <row r="15" spans="1:15" ht="15" customHeight="1">
      <c r="A15" s="5"/>
      <c r="B15" s="5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6" t="s">
        <v>51</v>
      </c>
      <c r="O15" s="9">
        <f>SQRT(O14)</f>
        <v>0.37396718445482136</v>
      </c>
    </row>
    <row r="16" spans="1:15" ht="15" customHeight="1">
      <c r="A16" s="5"/>
      <c r="B16" s="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6" t="s">
        <v>34</v>
      </c>
      <c r="O16" s="9">
        <f>AVERAGE(M3:M9)</f>
        <v>8.0494497464941777</v>
      </c>
    </row>
    <row r="17" spans="1:15" ht="15" customHeight="1">
      <c r="A17" s="5"/>
      <c r="B17" s="5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6" t="s">
        <v>36</v>
      </c>
      <c r="O17" s="9">
        <f>O14/(1-O14)*(O3-2)</f>
        <v>0.81294943687339538</v>
      </c>
    </row>
    <row r="18" spans="1:15" ht="15" customHeight="1">
      <c r="A18" s="5"/>
      <c r="B18" s="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6" t="s">
        <v>37</v>
      </c>
      <c r="O18" s="17" t="str">
        <f>"ŷ = "&amp;TEXT(O10,"0.0")&amp;" · x^("&amp;TEXT(O8,"0.000")&amp;")"</f>
        <v>ŷ = 190.0 · x^(-0.298)</v>
      </c>
    </row>
    <row r="19" spans="1:15">
      <c r="A19" s="1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8"/>
  <sheetViews>
    <sheetView workbookViewId="0"/>
  </sheetViews>
  <sheetFormatPr defaultColWidth="12.625" defaultRowHeight="14.25"/>
  <cols>
    <col min="1" max="1" width="6" customWidth="1"/>
    <col min="2" max="2" width="24" customWidth="1"/>
    <col min="3" max="4" width="10" customWidth="1"/>
    <col min="5" max="13" width="12" customWidth="1"/>
    <col min="14" max="14" width="20" customWidth="1"/>
    <col min="15" max="15" width="28" customWidth="1"/>
    <col min="16" max="26" width="8.625" customWidth="1"/>
  </cols>
  <sheetData>
    <row r="1" spans="1:15" ht="15">
      <c r="A1" s="7" t="s">
        <v>0</v>
      </c>
      <c r="B1" s="7" t="s">
        <v>1</v>
      </c>
      <c r="C1" s="7" t="s">
        <v>11</v>
      </c>
      <c r="D1" s="7" t="s">
        <v>12</v>
      </c>
      <c r="E1" s="7" t="s">
        <v>38</v>
      </c>
      <c r="F1" s="7" t="s">
        <v>52</v>
      </c>
      <c r="G1" s="7" t="s">
        <v>40</v>
      </c>
      <c r="H1" s="7" t="s">
        <v>41</v>
      </c>
      <c r="I1" s="7" t="s">
        <v>42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</row>
    <row r="2" spans="1:15" ht="15" customHeight="1">
      <c r="A2" s="8">
        <f>'Исходные данные'!A3</f>
        <v>1</v>
      </c>
      <c r="B2" s="5" t="str">
        <f>'Исходные данные'!B3</f>
        <v>Удмуртская респ.</v>
      </c>
      <c r="C2" s="6">
        <f>'Исходные данные'!C3</f>
        <v>68.8</v>
      </c>
      <c r="D2" s="6">
        <f>'Исходные данные'!D3</f>
        <v>45.1</v>
      </c>
      <c r="E2" s="9">
        <f t="shared" ref="E2:E8" si="0">LOG10(C2)</f>
        <v>1.8375884382355112</v>
      </c>
      <c r="F2" s="9">
        <f t="shared" ref="F2:F8" si="1">D2</f>
        <v>45.1</v>
      </c>
      <c r="G2" s="9">
        <f t="shared" ref="G2:G8" si="2">E2*F2</f>
        <v>82.875238564421565</v>
      </c>
      <c r="H2" s="9">
        <f t="shared" ref="H2:I2" si="3">E2^2</f>
        <v>3.3767312683368251</v>
      </c>
      <c r="I2" s="9">
        <f t="shared" si="3"/>
        <v>2034.0100000000002</v>
      </c>
      <c r="J2" s="9">
        <f t="shared" ref="J2:J8" si="4">$O$9*($O$10^D2)</f>
        <v>60.703700258749656</v>
      </c>
      <c r="K2" s="9">
        <f t="shared" ref="K2:K8" si="5">C2-J2</f>
        <v>8.0962997412503412</v>
      </c>
      <c r="L2" s="9">
        <f t="shared" ref="L2:L8" si="6">K2^2</f>
        <v>65.550069500170338</v>
      </c>
      <c r="M2" s="9">
        <f t="shared" ref="M2:M8" si="7">ABS(K2/C2)*100</f>
        <v>11.767877530887125</v>
      </c>
      <c r="N2" s="16" t="s">
        <v>22</v>
      </c>
      <c r="O2" s="9">
        <f>COUNT(C2:C8)</f>
        <v>7</v>
      </c>
    </row>
    <row r="3" spans="1:15" ht="15" customHeight="1">
      <c r="A3" s="8">
        <f>'Исходные данные'!A4</f>
        <v>2</v>
      </c>
      <c r="B3" s="5" t="str">
        <f>'Исходные данные'!B4</f>
        <v>Свердловская обл.</v>
      </c>
      <c r="C3" s="6">
        <f>'Исходные данные'!C4</f>
        <v>61.2</v>
      </c>
      <c r="D3" s="6">
        <f>'Исходные данные'!D4</f>
        <v>59</v>
      </c>
      <c r="E3" s="9">
        <f t="shared" si="0"/>
        <v>1.7867514221455612</v>
      </c>
      <c r="F3" s="9">
        <f t="shared" si="1"/>
        <v>59</v>
      </c>
      <c r="G3" s="9">
        <f t="shared" si="2"/>
        <v>105.4183339065881</v>
      </c>
      <c r="H3" s="9">
        <f t="shared" ref="H3:I3" si="8">E3^2</f>
        <v>3.1924806445391853</v>
      </c>
      <c r="I3" s="9">
        <f t="shared" si="8"/>
        <v>3481</v>
      </c>
      <c r="J3" s="9">
        <f t="shared" si="4"/>
        <v>56.35963648569318</v>
      </c>
      <c r="K3" s="9">
        <f t="shared" si="5"/>
        <v>4.8403635143068229</v>
      </c>
      <c r="L3" s="9">
        <f t="shared" si="6"/>
        <v>23.429118950632695</v>
      </c>
      <c r="M3" s="9">
        <f t="shared" si="7"/>
        <v>7.9090907096516716</v>
      </c>
      <c r="N3" s="16" t="s">
        <v>43</v>
      </c>
      <c r="O3" s="9">
        <f>AVERAGE(F2:F8)</f>
        <v>54.9</v>
      </c>
    </row>
    <row r="4" spans="1:15" ht="15" customHeight="1">
      <c r="A4" s="8">
        <f>'Исходные данные'!A5</f>
        <v>3</v>
      </c>
      <c r="B4" s="5" t="str">
        <f>'Исходные данные'!B5</f>
        <v>Башкортостан</v>
      </c>
      <c r="C4" s="6">
        <f>'Исходные данные'!C5</f>
        <v>59.9</v>
      </c>
      <c r="D4" s="6">
        <f>'Исходные данные'!D5</f>
        <v>57.2</v>
      </c>
      <c r="E4" s="9">
        <f t="shared" si="0"/>
        <v>1.7774268223893113</v>
      </c>
      <c r="F4" s="9">
        <f t="shared" si="1"/>
        <v>57.2</v>
      </c>
      <c r="G4" s="9">
        <f t="shared" si="2"/>
        <v>101.66881424066861</v>
      </c>
      <c r="H4" s="9">
        <f t="shared" ref="H4:I4" si="9">E4^2</f>
        <v>3.1592461089489641</v>
      </c>
      <c r="I4" s="9">
        <f t="shared" si="9"/>
        <v>3271.84</v>
      </c>
      <c r="J4" s="9">
        <f t="shared" si="4"/>
        <v>56.904164530397985</v>
      </c>
      <c r="K4" s="9">
        <f t="shared" si="5"/>
        <v>2.9958354696020137</v>
      </c>
      <c r="L4" s="9">
        <f t="shared" si="6"/>
        <v>8.9750301609255185</v>
      </c>
      <c r="M4" s="9">
        <f t="shared" si="7"/>
        <v>5.0013947739599569</v>
      </c>
      <c r="N4" s="16" t="s">
        <v>44</v>
      </c>
      <c r="O4" s="9">
        <f>AVERAGE(E2:E8)</f>
        <v>1.7604798828605157</v>
      </c>
    </row>
    <row r="5" spans="1:15" ht="15" customHeight="1">
      <c r="A5" s="8">
        <f>'Исходные данные'!A6</f>
        <v>4</v>
      </c>
      <c r="B5" s="5" t="str">
        <f>'Исходные данные'!B6</f>
        <v>Челябинская обл.</v>
      </c>
      <c r="C5" s="6">
        <f>'Исходные данные'!C6</f>
        <v>56.7</v>
      </c>
      <c r="D5" s="6">
        <f>'Исходные данные'!D6</f>
        <v>61.8</v>
      </c>
      <c r="E5" s="9">
        <f t="shared" si="0"/>
        <v>1.7535830588929067</v>
      </c>
      <c r="F5" s="9">
        <f t="shared" si="1"/>
        <v>61.8</v>
      </c>
      <c r="G5" s="9">
        <f t="shared" si="2"/>
        <v>108.37143303958163</v>
      </c>
      <c r="H5" s="9">
        <f t="shared" ref="H5:I5" si="10">E5^2</f>
        <v>3.0750535444362033</v>
      </c>
      <c r="I5" s="9">
        <f t="shared" si="10"/>
        <v>3819.24</v>
      </c>
      <c r="J5" s="9">
        <f t="shared" si="4"/>
        <v>55.522931566991886</v>
      </c>
      <c r="K5" s="9">
        <f t="shared" si="5"/>
        <v>1.1770684330081167</v>
      </c>
      <c r="L5" s="9">
        <f t="shared" si="6"/>
        <v>1.3854900959841834</v>
      </c>
      <c r="M5" s="9">
        <f t="shared" si="7"/>
        <v>2.0759584356404175</v>
      </c>
      <c r="N5" s="16" t="s">
        <v>45</v>
      </c>
      <c r="O5" s="9">
        <f>AVERAGE(G2:G8)-O3*O4</f>
        <v>-7.9653027011133304E-2</v>
      </c>
    </row>
    <row r="6" spans="1:15" ht="15" customHeight="1">
      <c r="A6" s="8">
        <f>'Исходные данные'!A7</f>
        <v>5</v>
      </c>
      <c r="B6" s="5" t="str">
        <f>'Исходные данные'!B7</f>
        <v>Пермская обл.</v>
      </c>
      <c r="C6" s="6">
        <f>'Исходные данные'!C7</f>
        <v>55</v>
      </c>
      <c r="D6" s="6">
        <f>'Исходные данные'!D7</f>
        <v>58.8</v>
      </c>
      <c r="E6" s="9">
        <f t="shared" si="0"/>
        <v>1.7403626894942439</v>
      </c>
      <c r="F6" s="9">
        <f t="shared" si="1"/>
        <v>58.8</v>
      </c>
      <c r="G6" s="9">
        <f t="shared" si="2"/>
        <v>102.33332614226154</v>
      </c>
      <c r="H6" s="9">
        <f t="shared" ref="H6:I6" si="11">E6^2</f>
        <v>3.0288622909836378</v>
      </c>
      <c r="I6" s="9">
        <f t="shared" si="11"/>
        <v>3457.4399999999996</v>
      </c>
      <c r="J6" s="9">
        <f t="shared" si="4"/>
        <v>56.419881366415858</v>
      </c>
      <c r="K6" s="9">
        <f t="shared" si="5"/>
        <v>-1.4198813664158578</v>
      </c>
      <c r="L6" s="9">
        <f t="shared" si="6"/>
        <v>2.0160630946949634</v>
      </c>
      <c r="M6" s="9">
        <f t="shared" si="7"/>
        <v>2.5816024843924685</v>
      </c>
      <c r="N6" s="16" t="s">
        <v>46</v>
      </c>
      <c r="O6" s="9">
        <f>AVERAGE(I2:I8)-O3^2</f>
        <v>34.334285714286125</v>
      </c>
    </row>
    <row r="7" spans="1:15" ht="15" customHeight="1">
      <c r="A7" s="8">
        <f>'Исходные данные'!A8</f>
        <v>6</v>
      </c>
      <c r="B7" s="5" t="str">
        <f>'Исходные данные'!B8</f>
        <v>Курганская обл.</v>
      </c>
      <c r="C7" s="6">
        <f>'Исходные данные'!C8</f>
        <v>54.3</v>
      </c>
      <c r="D7" s="6">
        <f>'Исходные данные'!D8</f>
        <v>47.2</v>
      </c>
      <c r="E7" s="9">
        <f t="shared" si="0"/>
        <v>1.7347998295888469</v>
      </c>
      <c r="F7" s="9">
        <f t="shared" si="1"/>
        <v>47.2</v>
      </c>
      <c r="G7" s="9">
        <f t="shared" si="2"/>
        <v>81.882551956593574</v>
      </c>
      <c r="H7" s="9">
        <f t="shared" ref="H7:I7" si="12">E7^2</f>
        <v>3.0095304487414922</v>
      </c>
      <c r="I7" s="9">
        <f t="shared" si="12"/>
        <v>2227.84</v>
      </c>
      <c r="J7" s="9">
        <f t="shared" si="4"/>
        <v>60.026541079123938</v>
      </c>
      <c r="K7" s="9">
        <f t="shared" si="5"/>
        <v>-5.7265410791239404</v>
      </c>
      <c r="L7" s="9">
        <f t="shared" si="6"/>
        <v>32.793272730893982</v>
      </c>
      <c r="M7" s="9">
        <f t="shared" si="7"/>
        <v>10.546116167815729</v>
      </c>
      <c r="N7" s="16" t="s">
        <v>53</v>
      </c>
      <c r="O7" s="9">
        <f>O5/O6</f>
        <v>-2.3199267249643277E-3</v>
      </c>
    </row>
    <row r="8" spans="1:15" ht="15" customHeight="1">
      <c r="A8" s="8">
        <f>'Исходные данные'!A9</f>
        <v>7</v>
      </c>
      <c r="B8" s="5" t="str">
        <f>'Исходные данные'!B9</f>
        <v>Оренбургская обл.</v>
      </c>
      <c r="C8" s="6">
        <f>'Исходные данные'!C9</f>
        <v>49.3</v>
      </c>
      <c r="D8" s="6">
        <f>'Исходные данные'!D9</f>
        <v>55.2</v>
      </c>
      <c r="E8" s="9">
        <f t="shared" si="0"/>
        <v>1.69284691927723</v>
      </c>
      <c r="F8" s="9">
        <f t="shared" si="1"/>
        <v>55.2</v>
      </c>
      <c r="G8" s="9">
        <f t="shared" si="2"/>
        <v>93.445149944103093</v>
      </c>
      <c r="H8" s="9">
        <f t="shared" ref="H8:I8" si="13">E8^2</f>
        <v>2.8657306921064083</v>
      </c>
      <c r="I8" s="9">
        <f t="shared" si="13"/>
        <v>3047.0400000000004</v>
      </c>
      <c r="J8" s="9">
        <f t="shared" si="4"/>
        <v>57.515368260200958</v>
      </c>
      <c r="K8" s="9">
        <f t="shared" si="5"/>
        <v>-8.215368260200961</v>
      </c>
      <c r="L8" s="9">
        <f t="shared" si="6"/>
        <v>67.49227565071736</v>
      </c>
      <c r="M8" s="9">
        <f t="shared" si="7"/>
        <v>16.664032982152051</v>
      </c>
      <c r="N8" s="16" t="s">
        <v>47</v>
      </c>
      <c r="O8" s="9">
        <f>O4-O7*O3</f>
        <v>1.8878438600610572</v>
      </c>
    </row>
    <row r="9" spans="1:15" ht="15" customHeight="1">
      <c r="A9" s="10" t="s">
        <v>29</v>
      </c>
      <c r="B9" s="10"/>
      <c r="C9" s="11">
        <f t="shared" ref="C9:D9" si="14">SUM(C2:C8)</f>
        <v>405.20000000000005</v>
      </c>
      <c r="D9" s="11">
        <f t="shared" si="14"/>
        <v>384.3</v>
      </c>
      <c r="E9" s="12"/>
      <c r="F9" s="12"/>
      <c r="G9" s="12"/>
      <c r="H9" s="12"/>
      <c r="I9" s="12"/>
      <c r="J9" s="12"/>
      <c r="K9" s="12"/>
      <c r="L9" s="12"/>
      <c r="M9" s="12"/>
      <c r="N9" s="16" t="s">
        <v>48</v>
      </c>
      <c r="O9" s="9">
        <f>10^O8</f>
        <v>77.240283665704169</v>
      </c>
    </row>
    <row r="10" spans="1:15" ht="26.45" customHeight="1">
      <c r="A10" s="10" t="s">
        <v>31</v>
      </c>
      <c r="B10" s="10"/>
      <c r="C10" s="11">
        <f t="shared" ref="C10:D10" si="15">AVERAGE(C2:C8)</f>
        <v>57.885714285714293</v>
      </c>
      <c r="D10" s="11">
        <f t="shared" si="15"/>
        <v>54.9</v>
      </c>
      <c r="E10" s="12"/>
      <c r="F10" s="12"/>
      <c r="G10" s="12"/>
      <c r="H10" s="12"/>
      <c r="I10" s="12"/>
      <c r="J10" s="12"/>
      <c r="K10" s="12"/>
      <c r="L10" s="12"/>
      <c r="M10" s="12"/>
      <c r="N10" s="16" t="s">
        <v>54</v>
      </c>
      <c r="O10" s="9">
        <f>10^O7</f>
        <v>0.99467241350208013</v>
      </c>
    </row>
    <row r="11" spans="1:15" ht="26.45" customHeight="1">
      <c r="A11" s="10" t="s">
        <v>33</v>
      </c>
      <c r="B11" s="10"/>
      <c r="C11" s="11">
        <f t="shared" ref="C11:D11" si="16">SUMPRODUCT((C2:C8-C10)^2)/COUNT(C2:C8)</f>
        <v>32.924081632653056</v>
      </c>
      <c r="D11" s="11">
        <f t="shared" si="16"/>
        <v>34.334285714285699</v>
      </c>
      <c r="E11" s="12"/>
      <c r="F11" s="12"/>
      <c r="G11" s="12"/>
      <c r="H11" s="12"/>
      <c r="I11" s="12"/>
      <c r="J11" s="12"/>
      <c r="K11" s="12"/>
      <c r="L11" s="12"/>
      <c r="M11" s="12"/>
      <c r="N11" s="16" t="s">
        <v>24</v>
      </c>
      <c r="O11" s="9">
        <f>AVERAGE(C2:C8)</f>
        <v>57.885714285714293</v>
      </c>
    </row>
    <row r="12" spans="1:15" ht="26.45" customHeight="1">
      <c r="A12" s="10" t="s">
        <v>35</v>
      </c>
      <c r="B12" s="10"/>
      <c r="C12" s="11">
        <f t="shared" ref="C12:D12" si="17">SQRT(C11)</f>
        <v>5.7379509960135646</v>
      </c>
      <c r="D12" s="11">
        <f t="shared" si="17"/>
        <v>5.8595465451078805</v>
      </c>
      <c r="E12" s="12"/>
      <c r="F12" s="12"/>
      <c r="G12" s="12"/>
      <c r="H12" s="12"/>
      <c r="I12" s="12"/>
      <c r="J12" s="12"/>
      <c r="K12" s="12"/>
      <c r="L12" s="12"/>
      <c r="M12" s="12"/>
      <c r="N12" s="16" t="s">
        <v>49</v>
      </c>
      <c r="O12" s="9">
        <f>SUMPRODUCT((C2:C8-O11)^2)</f>
        <v>230.46857142857141</v>
      </c>
    </row>
    <row r="13" spans="1:15" ht="15" customHeight="1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6" t="s">
        <v>50</v>
      </c>
      <c r="O13" s="9">
        <f>SUM(L2:L8)</f>
        <v>201.64132018401904</v>
      </c>
    </row>
    <row r="14" spans="1:15" ht="15" customHeight="1">
      <c r="A14" s="5"/>
      <c r="B14" s="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6" t="s">
        <v>32</v>
      </c>
      <c r="O14" s="9">
        <f>1-O13/O12</f>
        <v>0.12508105146773441</v>
      </c>
    </row>
    <row r="15" spans="1:15" ht="15" customHeight="1">
      <c r="A15" s="5"/>
      <c r="B15" s="5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6" t="s">
        <v>51</v>
      </c>
      <c r="O15" s="9">
        <f>SQRT(O14)</f>
        <v>0.35366799610331495</v>
      </c>
    </row>
    <row r="16" spans="1:15" ht="15" customHeight="1">
      <c r="A16" s="5"/>
      <c r="B16" s="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6" t="s">
        <v>34</v>
      </c>
      <c r="O16" s="9">
        <f>AVERAGE(M2:M8)</f>
        <v>8.0780104406427746</v>
      </c>
    </row>
    <row r="17" spans="1:15" ht="15" customHeight="1">
      <c r="A17" s="5"/>
      <c r="B17" s="5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6" t="s">
        <v>36</v>
      </c>
      <c r="O17" s="9">
        <f>O14/(1-O14)*(O2-2)</f>
        <v>0.71481507902855546</v>
      </c>
    </row>
    <row r="18" spans="1:15" ht="15" customHeight="1">
      <c r="A18" s="5"/>
      <c r="B18" s="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6" t="s">
        <v>37</v>
      </c>
      <c r="O18" s="17" t="str">
        <f>"ŷ = "&amp;TEXT(O9,"0.0")&amp;" · "&amp;TEXT(O10,"0.0000")&amp;"^x"</f>
        <v>ŷ = 77.2 · 0.9947^x</v>
      </c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8"/>
  <sheetViews>
    <sheetView workbookViewId="0"/>
  </sheetViews>
  <sheetFormatPr defaultColWidth="12.625" defaultRowHeight="14.25"/>
  <cols>
    <col min="1" max="1" width="6" customWidth="1"/>
    <col min="2" max="2" width="24" customWidth="1"/>
    <col min="3" max="4" width="10" customWidth="1"/>
    <col min="5" max="12" width="12" customWidth="1"/>
    <col min="13" max="13" width="3" customWidth="1"/>
    <col min="14" max="14" width="20" customWidth="1"/>
    <col min="15" max="15" width="28" customWidth="1"/>
    <col min="16" max="26" width="8.625" customWidth="1"/>
  </cols>
  <sheetData>
    <row r="1" spans="1:15" ht="15">
      <c r="A1" s="7" t="s">
        <v>0</v>
      </c>
      <c r="B1" s="7" t="s">
        <v>1</v>
      </c>
      <c r="C1" s="7" t="s">
        <v>11</v>
      </c>
      <c r="D1" s="7" t="s">
        <v>12</v>
      </c>
      <c r="E1" s="7" t="s">
        <v>55</v>
      </c>
      <c r="F1" s="7" t="s">
        <v>40</v>
      </c>
      <c r="G1" s="7" t="s">
        <v>41</v>
      </c>
      <c r="H1" s="7" t="s">
        <v>42</v>
      </c>
      <c r="I1" s="7" t="s">
        <v>16</v>
      </c>
      <c r="J1" s="7" t="s">
        <v>17</v>
      </c>
      <c r="K1" s="7" t="s">
        <v>18</v>
      </c>
      <c r="L1" s="7" t="s">
        <v>19</v>
      </c>
      <c r="M1" s="7"/>
      <c r="N1" s="7" t="s">
        <v>20</v>
      </c>
      <c r="O1" s="7" t="s">
        <v>21</v>
      </c>
    </row>
    <row r="2" spans="1:15" ht="15" customHeight="1">
      <c r="A2" s="8">
        <f>'Исходные данные'!A3</f>
        <v>1</v>
      </c>
      <c r="B2" s="5" t="str">
        <f>'Исходные данные'!B3</f>
        <v>Удмуртская респ.</v>
      </c>
      <c r="C2" s="6">
        <f>'Исходные данные'!C3</f>
        <v>68.8</v>
      </c>
      <c r="D2" s="6">
        <f>'Исходные данные'!D3</f>
        <v>45.1</v>
      </c>
      <c r="E2" s="9">
        <f t="shared" ref="E2:E8" si="0">1/D2</f>
        <v>2.2172949002217293E-2</v>
      </c>
      <c r="F2" s="9">
        <f t="shared" ref="F2:F8" si="1">C2*E2</f>
        <v>1.5254988913525498</v>
      </c>
      <c r="G2" s="9">
        <f t="shared" ref="G2:G8" si="2">C2^2</f>
        <v>4733.4399999999996</v>
      </c>
      <c r="H2" s="9">
        <f t="shared" ref="H2:H8" si="3">E2^2</f>
        <v>4.9163966745492888E-4</v>
      </c>
      <c r="I2" s="9">
        <f t="shared" ref="I2:I8" si="4">$O$8+$O$7*E2</f>
        <v>61.820477936446338</v>
      </c>
      <c r="J2" s="9">
        <f t="shared" ref="J2:J8" si="5">C2-I2</f>
        <v>6.9795220635536595</v>
      </c>
      <c r="K2" s="9">
        <f t="shared" ref="K2:K8" si="6">J2^2</f>
        <v>48.713728235632331</v>
      </c>
      <c r="L2" s="9">
        <f t="shared" ref="L2:L8" si="7">ABS(J2/C2)*100</f>
        <v>10.144654162141947</v>
      </c>
      <c r="M2" s="9"/>
      <c r="N2" s="16" t="s">
        <v>22</v>
      </c>
      <c r="O2" s="9">
        <f>COUNT(C2:C8)</f>
        <v>7</v>
      </c>
    </row>
    <row r="3" spans="1:15" ht="15" customHeight="1">
      <c r="A3" s="8">
        <f>'Исходные данные'!A4</f>
        <v>2</v>
      </c>
      <c r="B3" s="5" t="str">
        <f>'Исходные данные'!B4</f>
        <v>Свердловская обл.</v>
      </c>
      <c r="C3" s="6">
        <f>'Исходные данные'!C4</f>
        <v>61.2</v>
      </c>
      <c r="D3" s="6">
        <f>'Исходные данные'!D4</f>
        <v>59</v>
      </c>
      <c r="E3" s="9">
        <f t="shared" si="0"/>
        <v>1.6949152542372881E-2</v>
      </c>
      <c r="F3" s="9">
        <f t="shared" si="1"/>
        <v>1.0372881355932204</v>
      </c>
      <c r="G3" s="9">
        <f t="shared" si="2"/>
        <v>3745.4400000000005</v>
      </c>
      <c r="H3" s="9">
        <f t="shared" si="3"/>
        <v>2.8727377190462512E-4</v>
      </c>
      <c r="I3" s="9">
        <f t="shared" si="4"/>
        <v>56.311097237067642</v>
      </c>
      <c r="J3" s="9">
        <f t="shared" si="5"/>
        <v>4.8889027629323607</v>
      </c>
      <c r="K3" s="9">
        <f t="shared" si="6"/>
        <v>23.901370225407671</v>
      </c>
      <c r="L3" s="9">
        <f t="shared" si="7"/>
        <v>7.9884032074058187</v>
      </c>
      <c r="M3" s="9"/>
      <c r="N3" s="16" t="s">
        <v>43</v>
      </c>
      <c r="O3" s="9">
        <f>AVERAGE(E2:E8)</f>
        <v>1.8442147746944356E-2</v>
      </c>
    </row>
    <row r="4" spans="1:15" ht="15" customHeight="1">
      <c r="A4" s="8">
        <f>'Исходные данные'!A5</f>
        <v>3</v>
      </c>
      <c r="B4" s="5" t="str">
        <f>'Исходные данные'!B5</f>
        <v>Башкортостан</v>
      </c>
      <c r="C4" s="6">
        <f>'Исходные данные'!C5</f>
        <v>59.9</v>
      </c>
      <c r="D4" s="6">
        <f>'Исходные данные'!D5</f>
        <v>57.2</v>
      </c>
      <c r="E4" s="9">
        <f t="shared" si="0"/>
        <v>1.748251748251748E-2</v>
      </c>
      <c r="F4" s="9">
        <f t="shared" si="1"/>
        <v>1.0472027972027971</v>
      </c>
      <c r="G4" s="9">
        <f t="shared" si="2"/>
        <v>3588.0099999999998</v>
      </c>
      <c r="H4" s="9">
        <f t="shared" si="3"/>
        <v>3.0563841752652936E-4</v>
      </c>
      <c r="I4" s="9">
        <f t="shared" si="4"/>
        <v>56.873621165698168</v>
      </c>
      <c r="J4" s="9">
        <f t="shared" si="5"/>
        <v>3.0263788343018305</v>
      </c>
      <c r="K4" s="9">
        <f t="shared" si="6"/>
        <v>9.1589688487101064</v>
      </c>
      <c r="L4" s="9">
        <f t="shared" si="7"/>
        <v>5.0523853661132403</v>
      </c>
      <c r="M4" s="9"/>
      <c r="N4" s="16" t="s">
        <v>24</v>
      </c>
      <c r="O4" s="9">
        <f>AVERAGE(C2:C8)</f>
        <v>57.885714285714293</v>
      </c>
    </row>
    <row r="5" spans="1:15" ht="15" customHeight="1">
      <c r="A5" s="8">
        <f>'Исходные данные'!A6</f>
        <v>4</v>
      </c>
      <c r="B5" s="5" t="str">
        <f>'Исходные данные'!B6</f>
        <v>Челябинская обл.</v>
      </c>
      <c r="C5" s="6">
        <f>'Исходные данные'!C6</f>
        <v>56.7</v>
      </c>
      <c r="D5" s="6">
        <f>'Исходные данные'!D6</f>
        <v>61.8</v>
      </c>
      <c r="E5" s="9">
        <f t="shared" si="0"/>
        <v>1.6181229773462785E-2</v>
      </c>
      <c r="F5" s="9">
        <f t="shared" si="1"/>
        <v>0.91747572815533995</v>
      </c>
      <c r="G5" s="9">
        <f t="shared" si="2"/>
        <v>3214.8900000000003</v>
      </c>
      <c r="H5" s="9">
        <f t="shared" si="3"/>
        <v>2.618321969815985E-4</v>
      </c>
      <c r="I5" s="9">
        <f t="shared" si="4"/>
        <v>55.501192235184632</v>
      </c>
      <c r="J5" s="9">
        <f t="shared" si="5"/>
        <v>1.1988077648153705</v>
      </c>
      <c r="K5" s="9">
        <f t="shared" si="6"/>
        <v>1.4371400569816248</v>
      </c>
      <c r="L5" s="9">
        <f t="shared" si="7"/>
        <v>2.1142994088454508</v>
      </c>
      <c r="M5" s="9"/>
      <c r="N5" s="16" t="s">
        <v>56</v>
      </c>
      <c r="O5" s="9">
        <f>AVERAGE(F2:F8)-O3*O4</f>
        <v>4.8030151063516158E-3</v>
      </c>
    </row>
    <row r="6" spans="1:15" ht="15" customHeight="1">
      <c r="A6" s="8">
        <f>'Исходные данные'!A7</f>
        <v>5</v>
      </c>
      <c r="B6" s="5" t="str">
        <f>'Исходные данные'!B7</f>
        <v>Пермская обл.</v>
      </c>
      <c r="C6" s="6">
        <f>'Исходные данные'!C7</f>
        <v>55</v>
      </c>
      <c r="D6" s="6">
        <f>'Исходные данные'!D7</f>
        <v>58.8</v>
      </c>
      <c r="E6" s="9">
        <f t="shared" si="0"/>
        <v>1.7006802721088437E-2</v>
      </c>
      <c r="F6" s="9">
        <f t="shared" si="1"/>
        <v>0.93537414965986398</v>
      </c>
      <c r="G6" s="9">
        <f t="shared" si="2"/>
        <v>3025</v>
      </c>
      <c r="H6" s="9">
        <f t="shared" si="3"/>
        <v>2.8923133879402109E-4</v>
      </c>
      <c r="I6" s="9">
        <f t="shared" si="4"/>
        <v>56.371899143185686</v>
      </c>
      <c r="J6" s="9">
        <f t="shared" si="5"/>
        <v>-1.3718991431856864</v>
      </c>
      <c r="K6" s="9">
        <f t="shared" si="6"/>
        <v>1.8821072590736205</v>
      </c>
      <c r="L6" s="9">
        <f t="shared" si="7"/>
        <v>2.4943620785194298</v>
      </c>
      <c r="M6" s="9"/>
      <c r="N6" s="16" t="s">
        <v>46</v>
      </c>
      <c r="O6" s="9">
        <f>AVERAGE(H2:H8)-O3^2</f>
        <v>4.5540460313385554E-6</v>
      </c>
    </row>
    <row r="7" spans="1:15" ht="15" customHeight="1">
      <c r="A7" s="8">
        <f>'Исходные данные'!A8</f>
        <v>6</v>
      </c>
      <c r="B7" s="5" t="str">
        <f>'Исходные данные'!B8</f>
        <v>Курганская обл.</v>
      </c>
      <c r="C7" s="6">
        <f>'Исходные данные'!C8</f>
        <v>54.3</v>
      </c>
      <c r="D7" s="6">
        <f>'Исходные данные'!D8</f>
        <v>47.2</v>
      </c>
      <c r="E7" s="9">
        <f t="shared" si="0"/>
        <v>2.1186440677966101E-2</v>
      </c>
      <c r="F7" s="9">
        <f t="shared" si="1"/>
        <v>1.1504237288135593</v>
      </c>
      <c r="G7" s="9">
        <f t="shared" si="2"/>
        <v>2948.49</v>
      </c>
      <c r="H7" s="9">
        <f t="shared" si="3"/>
        <v>4.488652686009767E-4</v>
      </c>
      <c r="I7" s="9">
        <f t="shared" si="4"/>
        <v>60.780037336743533</v>
      </c>
      <c r="J7" s="9">
        <f t="shared" si="5"/>
        <v>-6.4800373367435355</v>
      </c>
      <c r="K7" s="9">
        <f t="shared" si="6"/>
        <v>41.99088388559025</v>
      </c>
      <c r="L7" s="9">
        <f t="shared" si="7"/>
        <v>11.933770417575573</v>
      </c>
      <c r="M7" s="9"/>
      <c r="N7" s="16" t="s">
        <v>27</v>
      </c>
      <c r="O7" s="9">
        <f>O5/O6</f>
        <v>1054.6698635235098</v>
      </c>
    </row>
    <row r="8" spans="1:15" ht="15" customHeight="1">
      <c r="A8" s="8">
        <f>'Исходные данные'!A9</f>
        <v>7</v>
      </c>
      <c r="B8" s="5" t="str">
        <f>'Исходные данные'!B9</f>
        <v>Оренбургская обл.</v>
      </c>
      <c r="C8" s="6">
        <f>'Исходные данные'!C9</f>
        <v>49.3</v>
      </c>
      <c r="D8" s="6">
        <f>'Исходные данные'!D9</f>
        <v>55.2</v>
      </c>
      <c r="E8" s="9">
        <f t="shared" si="0"/>
        <v>1.8115942028985508E-2</v>
      </c>
      <c r="F8" s="9">
        <f t="shared" si="1"/>
        <v>0.89311594202898548</v>
      </c>
      <c r="G8" s="9">
        <f t="shared" si="2"/>
        <v>2430.4899999999998</v>
      </c>
      <c r="H8" s="9">
        <f t="shared" si="3"/>
        <v>3.2818735559756357E-4</v>
      </c>
      <c r="I8" s="9">
        <f t="shared" si="4"/>
        <v>57.541674945674046</v>
      </c>
      <c r="J8" s="9">
        <f t="shared" si="5"/>
        <v>-8.241674945674049</v>
      </c>
      <c r="K8" s="9">
        <f t="shared" si="6"/>
        <v>67.925205910151334</v>
      </c>
      <c r="L8" s="9">
        <f t="shared" si="7"/>
        <v>16.717393398933165</v>
      </c>
      <c r="M8" s="9"/>
      <c r="N8" s="16" t="s">
        <v>28</v>
      </c>
      <c r="O8" s="9">
        <f>O4-O7*O3</f>
        <v>38.435336838364087</v>
      </c>
    </row>
    <row r="9" spans="1:15" ht="15" customHeight="1">
      <c r="A9" s="10" t="s">
        <v>29</v>
      </c>
      <c r="B9" s="10"/>
      <c r="C9" s="11">
        <f t="shared" ref="C9:D9" si="8">SUM(C2:C8)</f>
        <v>405.20000000000005</v>
      </c>
      <c r="D9" s="11">
        <f t="shared" si="8"/>
        <v>384.3</v>
      </c>
      <c r="E9" s="12"/>
      <c r="F9" s="12"/>
      <c r="G9" s="12"/>
      <c r="H9" s="12"/>
      <c r="I9" s="12"/>
      <c r="J9" s="12"/>
      <c r="K9" s="12"/>
      <c r="L9" s="12"/>
      <c r="M9" s="9"/>
      <c r="N9" s="16" t="s">
        <v>24</v>
      </c>
      <c r="O9" s="9">
        <f>AVERAGE(C2:C8)</f>
        <v>57.885714285714293</v>
      </c>
    </row>
    <row r="10" spans="1:15" ht="26.45" customHeight="1">
      <c r="A10" s="10" t="s">
        <v>31</v>
      </c>
      <c r="B10" s="10"/>
      <c r="C10" s="11">
        <f t="shared" ref="C10:D10" si="9">AVERAGE(C2:C8)</f>
        <v>57.885714285714293</v>
      </c>
      <c r="D10" s="11">
        <f t="shared" si="9"/>
        <v>54.9</v>
      </c>
      <c r="E10" s="12"/>
      <c r="F10" s="12"/>
      <c r="G10" s="12"/>
      <c r="H10" s="12"/>
      <c r="I10" s="12"/>
      <c r="J10" s="12"/>
      <c r="K10" s="12"/>
      <c r="L10" s="12"/>
      <c r="M10" s="9"/>
      <c r="N10" s="16" t="s">
        <v>49</v>
      </c>
      <c r="O10" s="9">
        <f>SUMPRODUCT((C2:C8-O9)^2)</f>
        <v>230.46857142857141</v>
      </c>
    </row>
    <row r="11" spans="1:15" ht="26.45" customHeight="1">
      <c r="A11" s="10" t="s">
        <v>33</v>
      </c>
      <c r="B11" s="10"/>
      <c r="C11" s="11">
        <f t="shared" ref="C11:D11" si="10">SUMPRODUCT((C2:C8-C10)^2)/COUNT(C2:C8)</f>
        <v>32.924081632653056</v>
      </c>
      <c r="D11" s="11">
        <f t="shared" si="10"/>
        <v>34.334285714285699</v>
      </c>
      <c r="E11" s="12"/>
      <c r="F11" s="12"/>
      <c r="G11" s="12"/>
      <c r="H11" s="12"/>
      <c r="I11" s="12"/>
      <c r="J11" s="12"/>
      <c r="K11" s="12"/>
      <c r="L11" s="12"/>
      <c r="M11" s="9"/>
      <c r="N11" s="16" t="s">
        <v>50</v>
      </c>
      <c r="O11" s="9">
        <f>SUM(K2:K8)</f>
        <v>195.00940442154695</v>
      </c>
    </row>
    <row r="12" spans="1:15" ht="26.45" customHeight="1">
      <c r="A12" s="10" t="s">
        <v>35</v>
      </c>
      <c r="B12" s="10"/>
      <c r="C12" s="11">
        <f t="shared" ref="C12:D12" si="11">SQRT(C11)</f>
        <v>5.7379509960135646</v>
      </c>
      <c r="D12" s="11">
        <f t="shared" si="11"/>
        <v>5.8595465451078805</v>
      </c>
      <c r="E12" s="12"/>
      <c r="F12" s="12"/>
      <c r="G12" s="12"/>
      <c r="H12" s="12"/>
      <c r="I12" s="12"/>
      <c r="J12" s="12"/>
      <c r="K12" s="12"/>
      <c r="L12" s="12"/>
      <c r="M12" s="9"/>
      <c r="N12" s="16" t="s">
        <v>32</v>
      </c>
      <c r="O12" s="9">
        <f>1-O11/O10</f>
        <v>0.15385684385176246</v>
      </c>
    </row>
    <row r="13" spans="1:15" ht="15" customHeight="1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6" t="s">
        <v>51</v>
      </c>
      <c r="O13" s="9">
        <f>SQRT(O12)</f>
        <v>0.39224589717645547</v>
      </c>
    </row>
    <row r="14" spans="1:15" ht="15" customHeight="1">
      <c r="A14" s="5"/>
      <c r="B14" s="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6" t="s">
        <v>34</v>
      </c>
      <c r="O14" s="9">
        <f>AVERAGE(L2:L8)</f>
        <v>8.0636097199335186</v>
      </c>
    </row>
    <row r="15" spans="1:15" ht="15" customHeight="1">
      <c r="A15" s="5"/>
      <c r="B15" s="5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6" t="s">
        <v>36</v>
      </c>
      <c r="O15" s="9">
        <f>O12/(1-O12)*(O2-2)</f>
        <v>0.90916556337901744</v>
      </c>
    </row>
    <row r="16" spans="1:15" ht="15" customHeight="1">
      <c r="A16" s="5"/>
      <c r="B16" s="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6" t="s">
        <v>37</v>
      </c>
      <c r="O16" s="17" t="str">
        <f>"ŷ = "&amp;TEXT(O8,"0.00")&amp;" + ("&amp;TEXT(O7,"0.0")&amp;")/x"</f>
        <v>ŷ = 38.44 + (1054.7)/x</v>
      </c>
    </row>
    <row r="17" spans="1:15">
      <c r="A17" s="1"/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Исходные данные</vt:lpstr>
      <vt:lpstr>1. Линейная модель</vt:lpstr>
      <vt:lpstr>2. Степенная модель</vt:lpstr>
      <vt:lpstr>3. Показательная модель</vt:lpstr>
      <vt:lpstr>4. Гипербола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2026-06-15T19:47:47Z</dcterms:created>
  <dcterms:modified xsi:type="dcterms:W3CDTF">2026-06-15T19:47:47Z</dcterms:modified>
</cp:coreProperties>
</file>