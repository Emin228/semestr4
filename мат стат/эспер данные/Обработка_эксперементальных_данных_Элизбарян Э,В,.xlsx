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1"/>
  <workbookPr/>
  <mc:AlternateContent xmlns:mc="http://schemas.openxmlformats.org/markup-compatibility/2006">
    <mc:Choice Requires="x15">
      <x15ac:absPath xmlns:x15ac="http://schemas.microsoft.com/office/spreadsheetml/2010/11/ac" url="C:\Users\Emin\4_semestr\мат стат\эспер данные\"/>
    </mc:Choice>
  </mc:AlternateContent>
  <xr:revisionPtr revIDLastSave="0" documentId="13_ncr:1_{5543A664-F9DE-440C-B1DC-CE09DF586405}" xr6:coauthVersionLast="47" xr6:coauthVersionMax="47" xr10:uidLastSave="{00000000-0000-0000-0000-000000000000}"/>
  <bookViews>
    <workbookView xWindow="780" yWindow="2670" windowWidth="14595" windowHeight="8895" firstSheet="1" activeTab="4" xr2:uid="{00000000-000D-0000-FFFF-FFFF00000000}"/>
  </bookViews>
  <sheets>
    <sheet name="Задача1" sheetId="1" r:id="rId1"/>
    <sheet name="Задача2" sheetId="2" r:id="rId2"/>
    <sheet name="Задача3" sheetId="3" r:id="rId3"/>
    <sheet name="Задача4" sheetId="4" r:id="rId4"/>
    <sheet name="Задача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5" l="1"/>
  <c r="N2" i="5"/>
  <c r="M2" i="5"/>
  <c r="F2" i="3"/>
  <c r="E2" i="3"/>
  <c r="D2" i="3"/>
  <c r="B2" i="3"/>
  <c r="C2" i="3"/>
  <c r="G2" i="1"/>
  <c r="F2" i="1"/>
  <c r="E2" i="1"/>
  <c r="H2" i="4"/>
  <c r="F18" i="5"/>
  <c r="I2" i="5"/>
  <c r="G4" i="5"/>
  <c r="G3" i="5"/>
  <c r="G2" i="5"/>
  <c r="B4" i="3"/>
  <c r="B3" i="3"/>
  <c r="C10" i="3"/>
  <c r="F2" i="2"/>
  <c r="I2" i="1"/>
  <c r="E2" i="2"/>
  <c r="D2" i="2"/>
  <c r="H2" i="2"/>
  <c r="B6" i="2"/>
  <c r="C6" i="2" s="1"/>
  <c r="B5" i="2"/>
  <c r="C5" i="2" s="1"/>
  <c r="B4" i="2"/>
  <c r="C4" i="2" s="1"/>
  <c r="B3" i="2"/>
  <c r="C3" i="2" s="1"/>
  <c r="B2" i="2"/>
  <c r="C2" i="2" s="1"/>
  <c r="D6" i="1"/>
  <c r="D5" i="1"/>
  <c r="D3" i="1"/>
  <c r="D4" i="1"/>
  <c r="D2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<sst xmlns="http://schemas.openxmlformats.org/spreadsheetml/2006/main" count="75" uniqueCount="54">
  <si>
    <t>n</t>
  </si>
  <si>
    <t>d</t>
  </si>
  <si>
    <t>di-d0</t>
  </si>
  <si>
    <t>(di-d0)^2</t>
  </si>
  <si>
    <t>Ср d</t>
  </si>
  <si>
    <t>Срен квадр погрешность</t>
  </si>
  <si>
    <t>Стан отклонение</t>
  </si>
  <si>
    <t>Абсолютн погреш</t>
  </si>
  <si>
    <t>Относит погреш</t>
  </si>
  <si>
    <t>14.818 +- 0.025..</t>
  </si>
  <si>
    <t>7.491 +- 0.019..</t>
  </si>
  <si>
    <t>P</t>
  </si>
  <si>
    <t>Ср</t>
  </si>
  <si>
    <t>сумма квадр</t>
  </si>
  <si>
    <t>суммма квадр</t>
  </si>
  <si>
    <t>Дисперсия</t>
  </si>
  <si>
    <t>Стан откл</t>
  </si>
  <si>
    <t>t</t>
  </si>
  <si>
    <t>Довертительный интервал</t>
  </si>
  <si>
    <t>Станд ошибка среднего</t>
  </si>
  <si>
    <t>47.11-4.303*0.01528</t>
  </si>
  <si>
    <t>47.11+4.303*0.01528</t>
  </si>
  <si>
    <t>Оценка истинной массы</t>
  </si>
  <si>
    <t>Точноть</t>
  </si>
  <si>
    <t>a</t>
  </si>
  <si>
    <t>b</t>
  </si>
  <si>
    <t>h</t>
  </si>
  <si>
    <t>b ср</t>
  </si>
  <si>
    <t>b ср квад откл</t>
  </si>
  <si>
    <t>сл погреш</t>
  </si>
  <si>
    <t>Довер веро</t>
  </si>
  <si>
    <t>Погрешность</t>
  </si>
  <si>
    <t>Общая погрешность</t>
  </si>
  <si>
    <t>Доверительный интервал</t>
  </si>
  <si>
    <t>12.8-0.25</t>
  </si>
  <si>
    <t>12.8+0.25</t>
  </si>
  <si>
    <t>a ср</t>
  </si>
  <si>
    <t>ско</t>
  </si>
  <si>
    <t>погрешность прибора</t>
  </si>
  <si>
    <t>погрешность штангенциркуля</t>
  </si>
  <si>
    <t>Дов интервал</t>
  </si>
  <si>
    <t>12.7+-0.05</t>
  </si>
  <si>
    <t>h ср</t>
  </si>
  <si>
    <t>ско среднего</t>
  </si>
  <si>
    <t>случ погрешн</t>
  </si>
  <si>
    <t>общ погрешность</t>
  </si>
  <si>
    <t>14.8+-0.3</t>
  </si>
  <si>
    <t>V</t>
  </si>
  <si>
    <t>уровень значимости</t>
  </si>
  <si>
    <t>ср</t>
  </si>
  <si>
    <t>выбор станд откло</t>
  </si>
  <si>
    <t>станд ошибка среднег</t>
  </si>
  <si>
    <t>абсолютн погрешность</t>
  </si>
  <si>
    <t>15.4083+-0.026065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</si>
</sst>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I6" sqref="A1:I6"/>
    </sheetView>
  </sheetViews>
  <sheetFormatPr defaultRowHeight="15" x14ac:dyDescent="0.25"/>
  <cols>
    <col min="6" max="6" width="24" bestFit="1" customWidth="1"/>
    <col min="7" max="7" width="16.7109375" bestFit="1" customWidth="1"/>
    <col min="8" max="8" width="17.7109375" bestFit="1" customWidth="1"/>
    <col min="9" max="9" width="15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>
        <v>14.85</v>
      </c>
      <c r="C2" s="2">
        <f>B2-B3</f>
        <v>4.9999999999998934E-2</v>
      </c>
      <c r="D2" s="2">
        <f>C2^2</f>
        <v>2.4999999999998934E-3</v>
      </c>
      <c r="E2" s="2">
        <f>AVERAGE(B2:B6)</f>
        <v>14.818000000000001</v>
      </c>
      <c r="F2" s="2">
        <f>_xlfn.STDEV.S(B2:B6)</f>
        <v>2.5884358211089496E-2</v>
      </c>
      <c r="G2" s="2">
        <f>_xlfn.STDEV.S(B2:B6)</f>
        <v>2.5884358211089496E-2</v>
      </c>
      <c r="H2" s="2" t="s">
        <v>9</v>
      </c>
      <c r="I2" s="2">
        <f>_xlfn.STDEV.S(B2:B6)/AVERAGE(B2:B6)</f>
        <v>1.7468186132466928E-3</v>
      </c>
    </row>
    <row r="3" spans="1:9" x14ac:dyDescent="0.25">
      <c r="A3" s="2">
        <v>2</v>
      </c>
      <c r="B3" s="2">
        <v>14.8</v>
      </c>
      <c r="C3" s="2">
        <f>B3-B3</f>
        <v>0</v>
      </c>
      <c r="D3" s="2">
        <f t="shared" ref="D3:D4" si="0">C3^2</f>
        <v>0</v>
      </c>
      <c r="E3" s="2"/>
      <c r="F3" s="2"/>
      <c r="G3" s="2"/>
      <c r="H3" s="2"/>
      <c r="I3" s="2"/>
    </row>
    <row r="4" spans="1:9" x14ac:dyDescent="0.25">
      <c r="A4" s="2">
        <v>3</v>
      </c>
      <c r="B4" s="2">
        <v>14.79</v>
      </c>
      <c r="C4" s="2">
        <f>B4-B3</f>
        <v>-1.0000000000001563E-2</v>
      </c>
      <c r="D4" s="2">
        <f t="shared" si="0"/>
        <v>1.0000000000003127E-4</v>
      </c>
      <c r="E4" s="2"/>
      <c r="F4" s="2"/>
      <c r="G4" s="2"/>
      <c r="H4" s="2"/>
      <c r="I4" s="2"/>
    </row>
    <row r="5" spans="1:9" x14ac:dyDescent="0.25">
      <c r="A5" s="2">
        <v>4</v>
      </c>
      <c r="B5" s="2">
        <v>14.84</v>
      </c>
      <c r="C5" s="2">
        <f>B5-B3</f>
        <v>3.9999999999999147E-2</v>
      </c>
      <c r="D5" s="2">
        <f>C5^2</f>
        <v>1.5999999999999318E-3</v>
      </c>
      <c r="E5" s="2"/>
      <c r="F5" s="2"/>
      <c r="G5" s="2"/>
      <c r="H5" s="2"/>
      <c r="I5" s="2"/>
    </row>
    <row r="6" spans="1:9" x14ac:dyDescent="0.25">
      <c r="A6" s="2">
        <v>5</v>
      </c>
      <c r="B6" s="2">
        <v>14.81</v>
      </c>
      <c r="C6" s="2">
        <f>B6-B3</f>
        <v>9.9999999999997868E-3</v>
      </c>
      <c r="D6" s="2">
        <f>C6^2</f>
        <v>9.9999999999995736E-5</v>
      </c>
      <c r="E6" s="2"/>
      <c r="F6" s="2"/>
      <c r="G6" s="2"/>
      <c r="H6" s="2"/>
      <c r="I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7025-3464-4E24-91B9-DE93DA113305}">
  <dimension ref="A1:H6"/>
  <sheetViews>
    <sheetView workbookViewId="0">
      <selection sqref="A1:H6"/>
    </sheetView>
  </sheetViews>
  <sheetFormatPr defaultRowHeight="15" x14ac:dyDescent="0.25"/>
  <cols>
    <col min="5" max="5" width="24" bestFit="1" customWidth="1"/>
    <col min="7" max="7" width="17.7109375" bestFit="1" customWidth="1"/>
    <col min="8" max="8" width="15.85546875" bestFit="1" customWidth="1"/>
  </cols>
  <sheetData>
    <row r="1" spans="1: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5">
      <c r="A2" s="2">
        <v>7.48</v>
      </c>
      <c r="B2" s="2">
        <f>A2-A2</f>
        <v>0</v>
      </c>
      <c r="C2" s="2">
        <f>B2^2</f>
        <v>0</v>
      </c>
      <c r="D2" s="2">
        <f>AVERAGE(A2:A6)</f>
        <v>7.492</v>
      </c>
      <c r="E2" s="2">
        <f>_xlfn.STDEV.S(A2:A6)</f>
        <v>1.9235384061671187E-2</v>
      </c>
      <c r="F2" s="2">
        <f>_xlfn.STDEV.S(A2:A6)</f>
        <v>1.9235384061671187E-2</v>
      </c>
      <c r="G2" s="2" t="s">
        <v>10</v>
      </c>
      <c r="H2" s="2">
        <f>_xlfn.STDEV.S(A2:A6)/AVERAGE(A2:A6)</f>
        <v>2.5674564951509858E-3</v>
      </c>
    </row>
    <row r="3" spans="1:8" x14ac:dyDescent="0.25">
      <c r="A3" s="2">
        <v>7.49</v>
      </c>
      <c r="B3" s="2">
        <f>A3-A2</f>
        <v>9.9999999999997868E-3</v>
      </c>
      <c r="C3" s="2">
        <f>B3^2</f>
        <v>9.9999999999995736E-5</v>
      </c>
    </row>
    <row r="4" spans="1:8" x14ac:dyDescent="0.25">
      <c r="A4" s="2">
        <v>7.52</v>
      </c>
      <c r="B4" s="2">
        <f>A4-A2</f>
        <v>3.9999999999999147E-2</v>
      </c>
      <c r="C4" s="2">
        <f>B4^2</f>
        <v>1.5999999999999318E-3</v>
      </c>
    </row>
    <row r="5" spans="1:8" x14ac:dyDescent="0.25">
      <c r="A5" s="2">
        <v>7.47</v>
      </c>
      <c r="B5" s="2">
        <f>A5-A2</f>
        <v>-1.0000000000000675E-2</v>
      </c>
      <c r="C5" s="2">
        <f>B5^2</f>
        <v>1.000000000000135E-4</v>
      </c>
    </row>
    <row r="6" spans="1:8" x14ac:dyDescent="0.25">
      <c r="A6" s="2">
        <v>7.5</v>
      </c>
      <c r="B6" s="2">
        <f>A6-A2</f>
        <v>1.9999999999999574E-2</v>
      </c>
      <c r="C6" s="2">
        <f>B6^2</f>
        <v>3.9999999999998294E-4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3BF3B-796F-4C67-AE9E-11C5B1010E01}">
  <dimension ref="A1:I12"/>
  <sheetViews>
    <sheetView topLeftCell="A13" workbookViewId="0">
      <selection activeCell="F9" sqref="F9:F10"/>
    </sheetView>
  </sheetViews>
  <sheetFormatPr defaultRowHeight="15" x14ac:dyDescent="0.25"/>
  <cols>
    <col min="2" max="2" width="12.42578125" bestFit="1" customWidth="1"/>
    <col min="3" max="3" width="14" bestFit="1" customWidth="1"/>
    <col min="6" max="6" width="23.28515625" bestFit="1" customWidth="1"/>
    <col min="8" max="8" width="26.28515625" bestFit="1" customWidth="1"/>
    <col min="9" max="9" width="19" bestFit="1" customWidth="1"/>
  </cols>
  <sheetData>
    <row r="1" spans="1:9" x14ac:dyDescent="0.25">
      <c r="A1" s="1" t="s">
        <v>1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19</v>
      </c>
      <c r="G1" s="1" t="s">
        <v>17</v>
      </c>
      <c r="H1" s="3" t="s">
        <v>18</v>
      </c>
      <c r="I1" s="3"/>
    </row>
    <row r="2" spans="1:9" x14ac:dyDescent="0.25">
      <c r="A2" s="2">
        <v>47.12</v>
      </c>
      <c r="B2" s="2">
        <f>(A2-C10)^2</f>
        <v>1.0000000000010231E-4</v>
      </c>
      <c r="C2" s="2">
        <f>SUM(B2:B4)</f>
        <v>1.4000000000001533E-3</v>
      </c>
      <c r="D2" s="2">
        <f>C2/2</f>
        <v>7.0000000000007665E-4</v>
      </c>
      <c r="E2" s="2">
        <f>SQRT(D2)</f>
        <v>2.6457513110647354E-2</v>
      </c>
      <c r="F2" s="2">
        <f>E2/SQRT(3)</f>
        <v>1.5275252316520304E-2</v>
      </c>
      <c r="G2" s="2">
        <v>4.3029999999999999</v>
      </c>
      <c r="H2" s="2" t="s">
        <v>20</v>
      </c>
      <c r="I2" s="2" t="s">
        <v>21</v>
      </c>
    </row>
    <row r="3" spans="1:9" x14ac:dyDescent="0.25">
      <c r="A3" s="2">
        <v>47.08</v>
      </c>
      <c r="B3" s="2">
        <f>(A3-C10)^2</f>
        <v>8.9999999999964186E-4</v>
      </c>
      <c r="C3" s="2"/>
      <c r="D3" s="2"/>
      <c r="E3" s="2"/>
      <c r="F3" s="2"/>
      <c r="G3" s="2"/>
      <c r="H3" s="2">
        <v>47.044260000000001</v>
      </c>
      <c r="I3" s="2">
        <v>47.175739999999998</v>
      </c>
    </row>
    <row r="4" spans="1:9" x14ac:dyDescent="0.25">
      <c r="A4" s="2">
        <v>47.13</v>
      </c>
      <c r="B4" s="2">
        <f>(A4-C10)^2</f>
        <v>4.0000000000040925E-4</v>
      </c>
      <c r="C4" s="2"/>
      <c r="D4" s="2"/>
      <c r="E4" s="2"/>
      <c r="F4" s="2"/>
      <c r="G4" s="2"/>
      <c r="H4" s="2"/>
      <c r="I4" s="2"/>
    </row>
    <row r="9" spans="1:9" x14ac:dyDescent="0.25">
      <c r="A9" s="1" t="s">
        <v>0</v>
      </c>
      <c r="B9" s="1" t="s">
        <v>11</v>
      </c>
      <c r="C9" s="1" t="s">
        <v>12</v>
      </c>
      <c r="F9" s="1" t="s">
        <v>22</v>
      </c>
    </row>
    <row r="10" spans="1:9" x14ac:dyDescent="0.25">
      <c r="A10" s="2">
        <v>3</v>
      </c>
      <c r="B10" s="2">
        <v>0.95</v>
      </c>
      <c r="C10" s="2">
        <f>AVERAGE(A2:A4)</f>
        <v>47.109999999999992</v>
      </c>
      <c r="F10" s="2">
        <v>47.11</v>
      </c>
    </row>
    <row r="11" spans="1:9" x14ac:dyDescent="0.25">
      <c r="F11" s="1" t="s">
        <v>23</v>
      </c>
    </row>
    <row r="12" spans="1:9" x14ac:dyDescent="0.25">
      <c r="F12" s="2">
        <v>7.0000000000000007E-2</v>
      </c>
    </row>
  </sheetData>
  <mergeCells count="1">
    <mergeCell ref="H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DF87-E478-4FB2-9908-634279CEFB1D}">
  <dimension ref="A1:J7"/>
  <sheetViews>
    <sheetView workbookViewId="0">
      <selection activeCell="J1" sqref="J1:J2"/>
    </sheetView>
  </sheetViews>
  <sheetFormatPr defaultRowHeight="15" x14ac:dyDescent="0.25"/>
  <cols>
    <col min="5" max="5" width="18.28515625" bestFit="1" customWidth="1"/>
    <col min="10" max="10" width="25.28515625" bestFit="1" customWidth="1"/>
  </cols>
  <sheetData>
    <row r="1" spans="1:10" x14ac:dyDescent="0.25">
      <c r="A1" s="1" t="s">
        <v>0</v>
      </c>
      <c r="B1" s="1" t="s">
        <v>48</v>
      </c>
      <c r="C1" s="1"/>
      <c r="D1" s="1" t="s">
        <v>49</v>
      </c>
      <c r="E1" s="1" t="s">
        <v>50</v>
      </c>
      <c r="F1" s="1" t="s">
        <v>51</v>
      </c>
      <c r="G1" s="1" t="s">
        <v>17</v>
      </c>
      <c r="H1" s="1" t="s">
        <v>52</v>
      </c>
      <c r="I1" s="1"/>
      <c r="J1" s="1" t="s">
        <v>33</v>
      </c>
    </row>
    <row r="2" spans="1:10" x14ac:dyDescent="0.25">
      <c r="A2" s="2">
        <v>15.42</v>
      </c>
      <c r="B2" s="2">
        <v>0.05</v>
      </c>
      <c r="C2" s="2"/>
      <c r="D2" s="2">
        <v>15.408300000000001</v>
      </c>
      <c r="E2" s="2">
        <v>2.4832E-2</v>
      </c>
      <c r="F2" s="2">
        <v>1.0137999999999999E-2</v>
      </c>
      <c r="G2" s="2">
        <v>2.5710000000000002</v>
      </c>
      <c r="H2" s="2">
        <f>G2*F2</f>
        <v>2.6064798E-2</v>
      </c>
      <c r="I2" s="2"/>
      <c r="J2" s="2" t="s">
        <v>53</v>
      </c>
    </row>
    <row r="3" spans="1:10" x14ac:dyDescent="0.25">
      <c r="A3" s="2">
        <v>15.38</v>
      </c>
    </row>
    <row r="4" spans="1:10" x14ac:dyDescent="0.25">
      <c r="A4" s="2">
        <v>15.45</v>
      </c>
    </row>
    <row r="5" spans="1:10" x14ac:dyDescent="0.25">
      <c r="A5" s="2">
        <v>15.4</v>
      </c>
    </row>
    <row r="6" spans="1:10" x14ac:dyDescent="0.25">
      <c r="A6" s="2">
        <v>15.41</v>
      </c>
    </row>
    <row r="7" spans="1:10" x14ac:dyDescent="0.25">
      <c r="A7" s="2">
        <v>15.39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4507-238B-4561-AD7D-C2A81A950461}">
  <dimension ref="A1:N18"/>
  <sheetViews>
    <sheetView tabSelected="1" topLeftCell="D13" workbookViewId="0">
      <selection activeCell="F17" sqref="F17:F18"/>
    </sheetView>
  </sheetViews>
  <sheetFormatPr defaultRowHeight="15" x14ac:dyDescent="0.25"/>
  <cols>
    <col min="7" max="7" width="4.7109375" bestFit="1" customWidth="1"/>
    <col min="8" max="8" width="12.85546875" bestFit="1" customWidth="1"/>
    <col min="9" max="9" width="21.5703125" bestFit="1" customWidth="1"/>
    <col min="10" max="10" width="29" bestFit="1" customWidth="1"/>
    <col min="12" max="12" width="8.85546875" bestFit="1" customWidth="1"/>
    <col min="13" max="13" width="13.7109375" bestFit="1" customWidth="1"/>
    <col min="14" max="14" width="19.7109375" bestFit="1" customWidth="1"/>
  </cols>
  <sheetData>
    <row r="1" spans="1:14" x14ac:dyDescent="0.25">
      <c r="A1" s="1" t="s">
        <v>0</v>
      </c>
      <c r="B1" s="1" t="s">
        <v>24</v>
      </c>
      <c r="C1" s="1" t="s">
        <v>25</v>
      </c>
      <c r="D1" s="1" t="s">
        <v>26</v>
      </c>
      <c r="F1" s="1" t="s">
        <v>27</v>
      </c>
      <c r="G1" s="3" t="s">
        <v>28</v>
      </c>
      <c r="H1" s="3"/>
      <c r="I1" s="1" t="s">
        <v>29</v>
      </c>
      <c r="J1" s="1" t="s">
        <v>30</v>
      </c>
      <c r="K1" s="1" t="s">
        <v>0</v>
      </c>
      <c r="L1" s="1" t="s">
        <v>17</v>
      </c>
      <c r="M1" s="1" t="s">
        <v>31</v>
      </c>
      <c r="N1" s="1" t="s">
        <v>32</v>
      </c>
    </row>
    <row r="2" spans="1:14" x14ac:dyDescent="0.25">
      <c r="A2" s="2">
        <v>1</v>
      </c>
      <c r="B2" s="2">
        <v>12.7</v>
      </c>
      <c r="C2" s="2">
        <v>12.7</v>
      </c>
      <c r="D2" s="2">
        <v>14.8</v>
      </c>
      <c r="F2" s="2">
        <v>12.8</v>
      </c>
      <c r="G2" s="2">
        <f>C2-F2</f>
        <v>-0.10000000000000142</v>
      </c>
      <c r="H2" s="2">
        <v>0.1</v>
      </c>
      <c r="I2" s="2">
        <f>H2/SQRT(A4)</f>
        <v>5.7735026918962581E-2</v>
      </c>
      <c r="J2" s="2">
        <v>0.95</v>
      </c>
      <c r="K2" s="2">
        <v>3</v>
      </c>
      <c r="L2" s="2">
        <v>4.3</v>
      </c>
      <c r="M2" s="2">
        <f>L2*H2</f>
        <v>0.43</v>
      </c>
      <c r="N2" s="2">
        <f>L2*I2</f>
        <v>0.2482606157515391</v>
      </c>
    </row>
    <row r="3" spans="1:14" x14ac:dyDescent="0.25">
      <c r="A3" s="2">
        <v>2</v>
      </c>
      <c r="B3" s="2">
        <v>12.7</v>
      </c>
      <c r="C3" s="2">
        <v>12.8</v>
      </c>
      <c r="D3" s="2">
        <v>14.9</v>
      </c>
      <c r="F3" s="2"/>
      <c r="G3" s="2">
        <f>C3-F2</f>
        <v>0</v>
      </c>
      <c r="H3" s="2"/>
      <c r="I3" s="2"/>
      <c r="J3" s="2"/>
      <c r="K3" s="2"/>
      <c r="L3" s="2"/>
      <c r="M3" s="2"/>
      <c r="N3" s="2"/>
    </row>
    <row r="4" spans="1:14" x14ac:dyDescent="0.25">
      <c r="A4" s="2">
        <v>3</v>
      </c>
      <c r="B4" s="2">
        <v>12.7</v>
      </c>
      <c r="C4" s="2">
        <v>12.9</v>
      </c>
      <c r="D4" s="2">
        <v>14.7</v>
      </c>
      <c r="F4" s="2"/>
      <c r="G4" s="2">
        <f>C4-F2</f>
        <v>9.9999999999999645E-2</v>
      </c>
      <c r="H4" s="2"/>
      <c r="I4" s="2"/>
      <c r="J4" s="2"/>
      <c r="K4" s="2"/>
      <c r="L4" s="2"/>
      <c r="M4" s="2"/>
      <c r="N4" s="2"/>
    </row>
    <row r="5" spans="1:14" x14ac:dyDescent="0.25">
      <c r="A5" s="1" t="s">
        <v>12</v>
      </c>
      <c r="B5" s="2">
        <v>12.7</v>
      </c>
      <c r="C5" s="2">
        <v>12.8</v>
      </c>
      <c r="D5" s="2">
        <v>14.8</v>
      </c>
      <c r="L5" s="3" t="s">
        <v>33</v>
      </c>
      <c r="M5" s="3"/>
    </row>
    <row r="6" spans="1:14" x14ac:dyDescent="0.25">
      <c r="L6" s="2" t="s">
        <v>34</v>
      </c>
      <c r="M6" s="2" t="s">
        <v>35</v>
      </c>
    </row>
    <row r="9" spans="1:14" x14ac:dyDescent="0.25">
      <c r="F9" s="1" t="s">
        <v>36</v>
      </c>
      <c r="G9" s="1" t="s">
        <v>37</v>
      </c>
      <c r="H9" s="1" t="s">
        <v>29</v>
      </c>
      <c r="I9" s="1" t="s">
        <v>38</v>
      </c>
      <c r="J9" s="1" t="s">
        <v>39</v>
      </c>
      <c r="K9" s="1"/>
      <c r="L9" s="1"/>
      <c r="M9" s="1" t="s">
        <v>40</v>
      </c>
    </row>
    <row r="10" spans="1:14" x14ac:dyDescent="0.25">
      <c r="F10" s="2">
        <v>12.7</v>
      </c>
      <c r="G10" s="2">
        <v>0</v>
      </c>
      <c r="H10" s="2">
        <v>0</v>
      </c>
      <c r="I10" s="2">
        <v>0.1</v>
      </c>
      <c r="J10" s="2">
        <f>I10/2</f>
        <v>0.05</v>
      </c>
      <c r="K10" s="2"/>
      <c r="L10" s="2"/>
      <c r="M10" s="2" t="s">
        <v>41</v>
      </c>
    </row>
    <row r="13" spans="1:14" x14ac:dyDescent="0.25">
      <c r="F13" s="1" t="s">
        <v>42</v>
      </c>
      <c r="G13" s="1" t="s">
        <v>37</v>
      </c>
      <c r="H13" s="1" t="s">
        <v>43</v>
      </c>
      <c r="I13" s="1" t="s">
        <v>17</v>
      </c>
      <c r="J13" s="1" t="s">
        <v>44</v>
      </c>
      <c r="K13" s="1" t="s">
        <v>45</v>
      </c>
      <c r="L13" s="1"/>
      <c r="M13" s="1" t="s">
        <v>40</v>
      </c>
    </row>
    <row r="14" spans="1:14" x14ac:dyDescent="0.25">
      <c r="F14" s="2">
        <v>14.8</v>
      </c>
      <c r="G14" s="2">
        <v>0.1</v>
      </c>
      <c r="H14" s="2">
        <v>5.8000000000000003E-2</v>
      </c>
      <c r="I14" s="2">
        <v>4.3</v>
      </c>
      <c r="J14" s="2">
        <v>0.25</v>
      </c>
      <c r="K14" s="2">
        <v>0.3</v>
      </c>
      <c r="L14" s="2"/>
      <c r="M14" s="2" t="s">
        <v>46</v>
      </c>
    </row>
    <row r="17" spans="6:6" x14ac:dyDescent="0.25">
      <c r="F17" s="1" t="s">
        <v>47</v>
      </c>
    </row>
    <row r="18" spans="6:6" x14ac:dyDescent="0.25">
      <c r="F18" s="2">
        <f>B5*C5*D5</f>
        <v>2405.8880000000004</v>
      </c>
    </row>
  </sheetData>
  <mergeCells count="2">
    <mergeCell ref="G1:H1"/>
    <mergeCell ref="L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Задача1</vt:lpstr>
      <vt:lpstr>Задача2</vt:lpstr>
      <vt:lpstr>Задача3</vt:lpstr>
      <vt:lpstr>Задача4</vt:lpstr>
      <vt:lpstr>Задача5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</dc:creator>
  <cp:lastModifiedBy>Emin Elizbaryan</cp:lastModifiedBy>
  <dcterms:created xsi:type="dcterms:W3CDTF">2015-06-05T18:17:20Z</dcterms:created>
  <dcterms:modified xsi:type="dcterms:W3CDTF">2026-04-04T19:05:15Z</dcterms:modified>
</cp:coreProperties>
</file>