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C:\Users\Emin\4_semestr\мат стат\"/>
    </mc:Choice>
  </mc:AlternateContent>
  <xr:revisionPtr revIDLastSave="0" documentId="8_{230BA0D4-7355-4069-99F9-34501AE7D84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3.1 Спирмен" sheetId="2" r:id="rId1"/>
    <sheet name="3.2 Профили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6" i="3" l="1"/>
  <c r="E45" i="3"/>
  <c r="F45" i="3" s="1"/>
  <c r="E44" i="3"/>
  <c r="F44" i="3" s="1"/>
  <c r="E43" i="3"/>
  <c r="F43" i="3" s="1"/>
  <c r="E42" i="3"/>
  <c r="F42" i="3" s="1"/>
  <c r="E41" i="3"/>
  <c r="F41" i="3" s="1"/>
  <c r="F40" i="3"/>
  <c r="E40" i="3"/>
  <c r="E39" i="3"/>
  <c r="F39" i="3" s="1"/>
  <c r="E38" i="3"/>
  <c r="F38" i="3" s="1"/>
  <c r="E37" i="3"/>
  <c r="F37" i="3" s="1"/>
  <c r="E36" i="3"/>
  <c r="F36" i="3" s="1"/>
  <c r="E35" i="3"/>
  <c r="F35" i="3" s="1"/>
  <c r="E34" i="3"/>
  <c r="F34" i="3" s="1"/>
  <c r="E33" i="3"/>
  <c r="F33" i="3" s="1"/>
  <c r="E32" i="3"/>
  <c r="F32" i="3" s="1"/>
  <c r="E31" i="3"/>
  <c r="F31" i="3" s="1"/>
  <c r="E30" i="3"/>
  <c r="F30" i="3" s="1"/>
  <c r="E29" i="3"/>
  <c r="F29" i="3" s="1"/>
  <c r="E28" i="3"/>
  <c r="F28" i="3" s="1"/>
  <c r="F46" i="3" s="1"/>
  <c r="F21" i="3"/>
  <c r="E21" i="3"/>
  <c r="G21" i="3" s="1"/>
  <c r="H21" i="3" s="1"/>
  <c r="F20" i="3"/>
  <c r="E20" i="3"/>
  <c r="G20" i="3" s="1"/>
  <c r="H20" i="3" s="1"/>
  <c r="F19" i="3"/>
  <c r="E19" i="3"/>
  <c r="G19" i="3" s="1"/>
  <c r="H19" i="3" s="1"/>
  <c r="F18" i="3"/>
  <c r="E18" i="3"/>
  <c r="G18" i="3" s="1"/>
  <c r="H18" i="3" s="1"/>
  <c r="F17" i="3"/>
  <c r="E17" i="3"/>
  <c r="G17" i="3" s="1"/>
  <c r="H17" i="3" s="1"/>
  <c r="F16" i="3"/>
  <c r="E16" i="3"/>
  <c r="G16" i="3" s="1"/>
  <c r="H16" i="3" s="1"/>
  <c r="F15" i="3"/>
  <c r="E15" i="3"/>
  <c r="G15" i="3" s="1"/>
  <c r="H15" i="3" s="1"/>
  <c r="F14" i="3"/>
  <c r="E14" i="3"/>
  <c r="G14" i="3" s="1"/>
  <c r="H14" i="3" s="1"/>
  <c r="F13" i="3"/>
  <c r="E13" i="3"/>
  <c r="F12" i="3"/>
  <c r="E12" i="3"/>
  <c r="G12" i="3" s="1"/>
  <c r="H12" i="3" s="1"/>
  <c r="F11" i="3"/>
  <c r="E11" i="3"/>
  <c r="G11" i="3" s="1"/>
  <c r="H11" i="3" s="1"/>
  <c r="F10" i="3"/>
  <c r="E10" i="3"/>
  <c r="G10" i="3" s="1"/>
  <c r="H10" i="3" s="1"/>
  <c r="F9" i="3"/>
  <c r="E9" i="3"/>
  <c r="G9" i="3" s="1"/>
  <c r="H9" i="3" s="1"/>
  <c r="F8" i="3"/>
  <c r="E8" i="3"/>
  <c r="G8" i="3" s="1"/>
  <c r="H8" i="3" s="1"/>
  <c r="F7" i="3"/>
  <c r="E7" i="3"/>
  <c r="G7" i="3" s="1"/>
  <c r="H7" i="3" s="1"/>
  <c r="F6" i="3"/>
  <c r="E6" i="3"/>
  <c r="F5" i="3"/>
  <c r="E5" i="3"/>
  <c r="F4" i="3"/>
  <c r="E4" i="3"/>
  <c r="L10" i="3" s="1"/>
  <c r="E23" i="2"/>
  <c r="F23" i="2" s="1"/>
  <c r="E22" i="2"/>
  <c r="F21" i="2"/>
  <c r="E21" i="2"/>
  <c r="E20" i="2"/>
  <c r="F20" i="2" s="1"/>
  <c r="E19" i="2"/>
  <c r="F19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I4" i="2"/>
  <c r="E4" i="2"/>
  <c r="F4" i="2" s="1"/>
  <c r="G6" i="3" l="1"/>
  <c r="H6" i="3" s="1"/>
  <c r="G13" i="3"/>
  <c r="H13" i="3" s="1"/>
  <c r="G5" i="3"/>
  <c r="H5" i="3" s="1"/>
  <c r="G4" i="3"/>
  <c r="L4" i="3"/>
  <c r="E24" i="2"/>
  <c r="F22" i="2"/>
  <c r="F24" i="2" s="1"/>
  <c r="I5" i="2" s="1"/>
  <c r="I6" i="2" s="1"/>
  <c r="H4" i="3" l="1"/>
  <c r="H22" i="3" s="1"/>
  <c r="L5" i="3" s="1"/>
  <c r="G22" i="3"/>
  <c r="L8" i="3" l="1"/>
  <c r="L9" i="3"/>
</calcChain>
</file>

<file path=xl/sharedStrings.xml><?xml version="1.0" encoding="utf-8"?>
<sst xmlns="http://schemas.openxmlformats.org/spreadsheetml/2006/main" count="108" uniqueCount="75">
  <si>
    <t>Часть 3.1. Коэффициент ранговой корреляции Спирмена</t>
  </si>
  <si>
    <t>№</t>
  </si>
  <si>
    <t>Вид страха</t>
  </si>
  <si>
    <t>Ранг США</t>
  </si>
  <si>
    <t>Ранг РФ</t>
  </si>
  <si>
    <t>d</t>
  </si>
  <si>
    <t>d²</t>
  </si>
  <si>
    <t>Показатель</t>
  </si>
  <si>
    <t>Значение</t>
  </si>
  <si>
    <t>Страх публичного выступления</t>
  </si>
  <si>
    <t>n</t>
  </si>
  <si>
    <t>Страх полета</t>
  </si>
  <si>
    <t>Σ(d²)</t>
  </si>
  <si>
    <t>Страх совершить ошибку</t>
  </si>
  <si>
    <t>rs эмпирическое</t>
  </si>
  <si>
    <t>Страх неудачи</t>
  </si>
  <si>
    <t>rs критическое p=0.05</t>
  </si>
  <si>
    <t>Страх неодобрения</t>
  </si>
  <si>
    <t>rs критическое p=0.01</t>
  </si>
  <si>
    <t>Страх отвержения</t>
  </si>
  <si>
    <t>Гипотеза</t>
  </si>
  <si>
    <t>H0</t>
  </si>
  <si>
    <t>Страх злых людей</t>
  </si>
  <si>
    <t>Формула</t>
  </si>
  <si>
    <t>1-6*Σ(d²)/(n*(n²-1))</t>
  </si>
  <si>
    <t>Страх одиночества</t>
  </si>
  <si>
    <t>Страх крови</t>
  </si>
  <si>
    <t>Интерпретация</t>
  </si>
  <si>
    <t>Страх открытых ран</t>
  </si>
  <si>
    <t>rs положителен, но меньше критического значения для p=0.05.</t>
  </si>
  <si>
    <t>Страх дантиста</t>
  </si>
  <si>
    <t>Статистически значимая корреляция не подтверждается.</t>
  </si>
  <si>
    <t>Страх уколов</t>
  </si>
  <si>
    <t>Решение: нулевая гипотеза сохраняется.</t>
  </si>
  <si>
    <t>Страх прохождения тестов</t>
  </si>
  <si>
    <t>Страх полиции</t>
  </si>
  <si>
    <t>Страх высоты</t>
  </si>
  <si>
    <t>Страх собак</t>
  </si>
  <si>
    <t>Страх пауков</t>
  </si>
  <si>
    <t>Страх искалеченных людей</t>
  </si>
  <si>
    <t>Страх больниц</t>
  </si>
  <si>
    <t>Страх темноты</t>
  </si>
  <si>
    <t>Суммы</t>
  </si>
  <si>
    <t>Часть 3.2. Индивидуальный и среднегрупповой профили</t>
  </si>
  <si>
    <t>Качество</t>
  </si>
  <si>
    <t>Эталонная оценка</t>
  </si>
  <si>
    <t>Индивидуальный показатель</t>
  </si>
  <si>
    <t>Ранг эталона</t>
  </si>
  <si>
    <t>Ранг индивидуальный</t>
  </si>
  <si>
    <t>Общий уровень культуры</t>
  </si>
  <si>
    <t>Обучаемость</t>
  </si>
  <si>
    <t>Логика</t>
  </si>
  <si>
    <t>Ta</t>
  </si>
  <si>
    <t>Способность к творчеству нового</t>
  </si>
  <si>
    <t>Tb</t>
  </si>
  <si>
    <t>Самокритичность</t>
  </si>
  <si>
    <t>rs с поправкой</t>
  </si>
  <si>
    <t>Ответственность</t>
  </si>
  <si>
    <t>rs без поправки</t>
  </si>
  <si>
    <t>Самостоятельность</t>
  </si>
  <si>
    <t>r Пирсона по рангам</t>
  </si>
  <si>
    <t>Энергия, активность</t>
  </si>
  <si>
    <t>Целеустремленность</t>
  </si>
  <si>
    <t>Выдержка, самообладание</t>
  </si>
  <si>
    <t>Стойкость</t>
  </si>
  <si>
    <t>Личностная зрелость</t>
  </si>
  <si>
    <t>Порядочность</t>
  </si>
  <si>
    <t>Гуманизм</t>
  </si>
  <si>
    <t>Умение общаться с людьми</t>
  </si>
  <si>
    <t>Терпимость к чужому мнению</t>
  </si>
  <si>
    <t>Гибкость поведения</t>
  </si>
  <si>
    <t>Способность производить благоприятное впечатление</t>
  </si>
  <si>
    <t>Ранжирование в порядке убывания эталонной оценки</t>
  </si>
  <si>
    <t>Ряд 1</t>
  </si>
  <si>
    <t>Ряд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</si>
</sst>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4"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b/>
      <sz val="13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0" xfId="0" applyFont="1" applyFill="1" applyAlignment="1">
      <alignment horizontal="center"/>
    </xf>
    <xf numFmtId="165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/>
    <xf numFmtId="0" fontId="1" fillId="4" borderId="0" xfId="0" applyFont="1" applyFill="1"/>
    <xf numFmtId="1" fontId="1" fillId="4" borderId="0" xfId="0" applyNumberFormat="1" applyFont="1" applyFill="1"/>
    <xf numFmtId="2" fontId="0" fillId="0" borderId="0" xfId="0" applyNumberFormat="1"/>
    <xf numFmtId="2" fontId="1" fillId="4" borderId="0" xfId="0" applyNumberFormat="1" applyFont="1" applyFill="1"/>
    <xf numFmtId="0" fontId="0" fillId="0" borderId="0" xfId="0"/>
    <xf numFmtId="0" fontId="3" fillId="2" borderId="0" xfId="0" applyFont="1" applyFill="1" applyAlignment="1">
      <alignment horizontal="center"/>
    </xf>
    <xf numFmtId="0" fontId="2" fillId="2" borderId="0" xfId="0" applyFont="1" applyFill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ru-RU"/>
              <a:t>Корреляционное поле: ранги страхов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Ранги</c:v>
          </c:tx>
          <c:xVal>
            <c:numLit>
              <c:ptCount val="0"/>
            </c:numLit>
          </c:xVal>
          <c:yVal>
            <c:numLit>
              <c:formatCode>General</c:formatCode>
              <c:ptCount val="20"/>
              <c:pt idx="0">
                <c:v>7</c:v>
              </c:pt>
              <c:pt idx="1">
                <c:v>12</c:v>
              </c:pt>
              <c:pt idx="2">
                <c:v>10</c:v>
              </c:pt>
              <c:pt idx="3">
                <c:v>6</c:v>
              </c:pt>
              <c:pt idx="4">
                <c:v>9</c:v>
              </c:pt>
              <c:pt idx="5">
                <c:v>2</c:v>
              </c:pt>
              <c:pt idx="6">
                <c:v>5</c:v>
              </c:pt>
              <c:pt idx="7">
                <c:v>1</c:v>
              </c:pt>
              <c:pt idx="8">
                <c:v>16</c:v>
              </c:pt>
              <c:pt idx="9">
                <c:v>13</c:v>
              </c:pt>
              <c:pt idx="10">
                <c:v>3</c:v>
              </c:pt>
              <c:pt idx="11">
                <c:v>19</c:v>
              </c:pt>
              <c:pt idx="12">
                <c:v>20</c:v>
              </c:pt>
              <c:pt idx="13">
                <c:v>17</c:v>
              </c:pt>
              <c:pt idx="14">
                <c:v>4</c:v>
              </c:pt>
              <c:pt idx="15">
                <c:v>11</c:v>
              </c:pt>
              <c:pt idx="16">
                <c:v>18</c:v>
              </c:pt>
              <c:pt idx="17">
                <c:v>8</c:v>
              </c:pt>
              <c:pt idx="18">
                <c:v>15</c:v>
              </c:pt>
              <c:pt idx="19">
                <c:v>14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1F16-42F1-8C19-28F8453CC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ru-RU"/>
              <a:t>Корреляционное поле: ранги профилей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Ранги профилей</c:v>
          </c:tx>
          <c:xVal>
            <c:numLit>
              <c:ptCount val="0"/>
            </c:numLit>
          </c:xVal>
          <c:yVal>
            <c:numLit>
              <c:formatCode>General</c:formatCode>
              <c:ptCount val="18"/>
              <c:pt idx="0">
                <c:v>2</c:v>
              </c:pt>
              <c:pt idx="1">
                <c:v>8.5</c:v>
              </c:pt>
              <c:pt idx="2">
                <c:v>13.5</c:v>
              </c:pt>
              <c:pt idx="3">
                <c:v>12</c:v>
              </c:pt>
              <c:pt idx="4">
                <c:v>5</c:v>
              </c:pt>
              <c:pt idx="5">
                <c:v>3</c:v>
              </c:pt>
              <c:pt idx="6">
                <c:v>8.5</c:v>
              </c:pt>
              <c:pt idx="7">
                <c:v>6</c:v>
              </c:pt>
              <c:pt idx="8">
                <c:v>7</c:v>
              </c:pt>
              <c:pt idx="9">
                <c:v>10</c:v>
              </c:pt>
              <c:pt idx="10">
                <c:v>1</c:v>
              </c:pt>
              <c:pt idx="11">
                <c:v>15</c:v>
              </c:pt>
              <c:pt idx="12">
                <c:v>11</c:v>
              </c:pt>
              <c:pt idx="13">
                <c:v>16</c:v>
              </c:pt>
              <c:pt idx="14">
                <c:v>4</c:v>
              </c:pt>
              <c:pt idx="15">
                <c:v>18</c:v>
              </c:pt>
              <c:pt idx="16">
                <c:v>13.5</c:v>
              </c:pt>
              <c:pt idx="17">
                <c:v>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C99E-47CE-A42D-E0F606F90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5334000" cy="3048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</xdr:row>
      <xdr:rowOff>0</xdr:rowOff>
    </xdr:from>
    <xdr:ext cx="4857750" cy="2857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topLeftCell="A13" workbookViewId="0">
      <selection sqref="A1:F1"/>
    </sheetView>
  </sheetViews>
  <sheetFormatPr defaultRowHeight="14.25"/>
  <cols>
    <col min="1" max="1" width="54.25" customWidth="1"/>
    <col min="2" max="2" width="34" customWidth="1"/>
    <col min="3" max="3" width="8.25" customWidth="1"/>
    <col min="4" max="4" width="6.75" customWidth="1"/>
    <col min="5" max="5" width="3" customWidth="1"/>
    <col min="6" max="6" width="3.375" customWidth="1"/>
    <col min="8" max="9" width="24" customWidth="1"/>
  </cols>
  <sheetData>
    <row r="1" spans="1:9" ht="16.5">
      <c r="A1" s="13" t="s">
        <v>0</v>
      </c>
      <c r="B1" s="12"/>
      <c r="C1" s="12"/>
      <c r="D1" s="12"/>
      <c r="E1" s="12"/>
      <c r="F1" s="12"/>
    </row>
    <row r="3" spans="1:9" ht="30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H3" s="1" t="s">
        <v>7</v>
      </c>
      <c r="I3" s="1" t="s">
        <v>8</v>
      </c>
    </row>
    <row r="4" spans="1:9">
      <c r="A4" s="6">
        <v>1</v>
      </c>
      <c r="B4" s="3" t="s">
        <v>9</v>
      </c>
      <c r="C4" s="7">
        <v>1</v>
      </c>
      <c r="D4" s="7">
        <v>7</v>
      </c>
      <c r="E4" s="7">
        <f t="shared" ref="E4:E23" si="0">C4-D4</f>
        <v>-6</v>
      </c>
      <c r="F4" s="7">
        <f t="shared" ref="F4:F23" si="1">E4^2</f>
        <v>36</v>
      </c>
      <c r="H4" t="s">
        <v>10</v>
      </c>
      <c r="I4">
        <f>COUNT(C4:C23)</f>
        <v>20</v>
      </c>
    </row>
    <row r="5" spans="1:9">
      <c r="A5" s="6">
        <v>2</v>
      </c>
      <c r="B5" s="3" t="s">
        <v>11</v>
      </c>
      <c r="C5" s="7">
        <v>2</v>
      </c>
      <c r="D5" s="7">
        <v>12</v>
      </c>
      <c r="E5" s="7">
        <f t="shared" si="0"/>
        <v>-10</v>
      </c>
      <c r="F5" s="7">
        <f t="shared" si="1"/>
        <v>100</v>
      </c>
      <c r="H5" t="s">
        <v>12</v>
      </c>
      <c r="I5">
        <f>F24</f>
        <v>795</v>
      </c>
    </row>
    <row r="6" spans="1:9">
      <c r="A6" s="6">
        <v>3</v>
      </c>
      <c r="B6" s="3" t="s">
        <v>13</v>
      </c>
      <c r="C6" s="7">
        <v>3</v>
      </c>
      <c r="D6" s="7">
        <v>10</v>
      </c>
      <c r="E6" s="7">
        <f t="shared" si="0"/>
        <v>-7</v>
      </c>
      <c r="F6" s="7">
        <f t="shared" si="1"/>
        <v>49</v>
      </c>
      <c r="H6" t="s">
        <v>14</v>
      </c>
      <c r="I6" s="2">
        <f>1-6*I5/(I4*(I4^2-1))</f>
        <v>0.40225563909774431</v>
      </c>
    </row>
    <row r="7" spans="1:9">
      <c r="A7" s="6">
        <v>4</v>
      </c>
      <c r="B7" s="3" t="s">
        <v>15</v>
      </c>
      <c r="C7" s="7">
        <v>4</v>
      </c>
      <c r="D7" s="7">
        <v>6</v>
      </c>
      <c r="E7" s="7">
        <f t="shared" si="0"/>
        <v>-2</v>
      </c>
      <c r="F7" s="7">
        <f t="shared" si="1"/>
        <v>4</v>
      </c>
      <c r="H7" t="s">
        <v>16</v>
      </c>
      <c r="I7" s="2">
        <v>0.45</v>
      </c>
    </row>
    <row r="8" spans="1:9">
      <c r="A8" s="6">
        <v>5</v>
      </c>
      <c r="B8" s="3" t="s">
        <v>17</v>
      </c>
      <c r="C8" s="7">
        <v>5</v>
      </c>
      <c r="D8" s="7">
        <v>9</v>
      </c>
      <c r="E8" s="7">
        <f t="shared" si="0"/>
        <v>-4</v>
      </c>
      <c r="F8" s="7">
        <f t="shared" si="1"/>
        <v>16</v>
      </c>
      <c r="H8" t="s">
        <v>18</v>
      </c>
      <c r="I8" s="2">
        <v>0.56999999999999995</v>
      </c>
    </row>
    <row r="9" spans="1:9">
      <c r="A9" s="6">
        <v>6</v>
      </c>
      <c r="B9" s="3" t="s">
        <v>19</v>
      </c>
      <c r="C9" s="7">
        <v>6</v>
      </c>
      <c r="D9" s="7">
        <v>2</v>
      </c>
      <c r="E9" s="7">
        <f t="shared" si="0"/>
        <v>4</v>
      </c>
      <c r="F9" s="7">
        <f t="shared" si="1"/>
        <v>16</v>
      </c>
      <c r="H9" t="s">
        <v>20</v>
      </c>
      <c r="I9" t="s">
        <v>21</v>
      </c>
    </row>
    <row r="10" spans="1:9">
      <c r="A10" s="6">
        <v>7</v>
      </c>
      <c r="B10" s="3" t="s">
        <v>22</v>
      </c>
      <c r="C10" s="7">
        <v>7</v>
      </c>
      <c r="D10" s="7">
        <v>5</v>
      </c>
      <c r="E10" s="7">
        <f t="shared" si="0"/>
        <v>2</v>
      </c>
      <c r="F10" s="7">
        <f t="shared" si="1"/>
        <v>4</v>
      </c>
      <c r="H10" s="3" t="s">
        <v>23</v>
      </c>
      <c r="I10" s="3" t="s">
        <v>24</v>
      </c>
    </row>
    <row r="11" spans="1:9">
      <c r="A11" s="6">
        <v>8</v>
      </c>
      <c r="B11" s="3" t="s">
        <v>25</v>
      </c>
      <c r="C11" s="7">
        <v>8</v>
      </c>
      <c r="D11" s="7">
        <v>1</v>
      </c>
      <c r="E11" s="7">
        <f t="shared" si="0"/>
        <v>7</v>
      </c>
      <c r="F11" s="7">
        <f t="shared" si="1"/>
        <v>49</v>
      </c>
    </row>
    <row r="12" spans="1:9" ht="15">
      <c r="A12" s="6">
        <v>9</v>
      </c>
      <c r="B12" s="3" t="s">
        <v>26</v>
      </c>
      <c r="C12" s="7">
        <v>9</v>
      </c>
      <c r="D12" s="7">
        <v>16</v>
      </c>
      <c r="E12" s="7">
        <f t="shared" si="0"/>
        <v>-7</v>
      </c>
      <c r="F12" s="7">
        <f t="shared" si="1"/>
        <v>49</v>
      </c>
      <c r="H12" s="14" t="s">
        <v>27</v>
      </c>
      <c r="I12" s="12"/>
    </row>
    <row r="13" spans="1:9">
      <c r="A13" s="6">
        <v>10</v>
      </c>
      <c r="B13" s="3" t="s">
        <v>28</v>
      </c>
      <c r="C13" s="7">
        <v>10</v>
      </c>
      <c r="D13" s="7">
        <v>13</v>
      </c>
      <c r="E13" s="7">
        <f t="shared" si="0"/>
        <v>-3</v>
      </c>
      <c r="F13" s="7">
        <f t="shared" si="1"/>
        <v>9</v>
      </c>
      <c r="H13" s="15" t="s">
        <v>29</v>
      </c>
      <c r="I13" s="12"/>
    </row>
    <row r="14" spans="1:9">
      <c r="A14" s="6">
        <v>11</v>
      </c>
      <c r="B14" s="3" t="s">
        <v>30</v>
      </c>
      <c r="C14" s="7">
        <v>11</v>
      </c>
      <c r="D14" s="7">
        <v>3</v>
      </c>
      <c r="E14" s="7">
        <f t="shared" si="0"/>
        <v>8</v>
      </c>
      <c r="F14" s="7">
        <f t="shared" si="1"/>
        <v>64</v>
      </c>
      <c r="H14" s="15" t="s">
        <v>31</v>
      </c>
      <c r="I14" s="12"/>
    </row>
    <row r="15" spans="1:9">
      <c r="A15" s="6">
        <v>12</v>
      </c>
      <c r="B15" s="3" t="s">
        <v>32</v>
      </c>
      <c r="C15" s="7">
        <v>12</v>
      </c>
      <c r="D15" s="7">
        <v>19</v>
      </c>
      <c r="E15" s="7">
        <f t="shared" si="0"/>
        <v>-7</v>
      </c>
      <c r="F15" s="7">
        <f t="shared" si="1"/>
        <v>49</v>
      </c>
      <c r="H15" s="15" t="s">
        <v>33</v>
      </c>
      <c r="I15" s="12"/>
    </row>
    <row r="16" spans="1:9">
      <c r="A16" s="6">
        <v>13</v>
      </c>
      <c r="B16" s="3" t="s">
        <v>34</v>
      </c>
      <c r="C16" s="7">
        <v>13</v>
      </c>
      <c r="D16" s="7">
        <v>20</v>
      </c>
      <c r="E16" s="7">
        <f t="shared" si="0"/>
        <v>-7</v>
      </c>
      <c r="F16" s="7">
        <f t="shared" si="1"/>
        <v>49</v>
      </c>
    </row>
    <row r="17" spans="1:6">
      <c r="A17" s="6">
        <v>14</v>
      </c>
      <c r="B17" s="3" t="s">
        <v>35</v>
      </c>
      <c r="C17" s="7">
        <v>14</v>
      </c>
      <c r="D17" s="7">
        <v>17</v>
      </c>
      <c r="E17" s="7">
        <f t="shared" si="0"/>
        <v>-3</v>
      </c>
      <c r="F17" s="7">
        <f t="shared" si="1"/>
        <v>9</v>
      </c>
    </row>
    <row r="18" spans="1:6">
      <c r="A18" s="6">
        <v>15</v>
      </c>
      <c r="B18" s="3" t="s">
        <v>36</v>
      </c>
      <c r="C18" s="7">
        <v>15</v>
      </c>
      <c r="D18" s="7">
        <v>4</v>
      </c>
      <c r="E18" s="7">
        <f t="shared" si="0"/>
        <v>11</v>
      </c>
      <c r="F18" s="7">
        <f t="shared" si="1"/>
        <v>121</v>
      </c>
    </row>
    <row r="19" spans="1:6">
      <c r="A19" s="6">
        <v>16</v>
      </c>
      <c r="B19" s="3" t="s">
        <v>37</v>
      </c>
      <c r="C19" s="7">
        <v>16</v>
      </c>
      <c r="D19" s="7">
        <v>11</v>
      </c>
      <c r="E19" s="7">
        <f t="shared" si="0"/>
        <v>5</v>
      </c>
      <c r="F19" s="7">
        <f t="shared" si="1"/>
        <v>25</v>
      </c>
    </row>
    <row r="20" spans="1:6">
      <c r="A20" s="6">
        <v>17</v>
      </c>
      <c r="B20" s="3" t="s">
        <v>38</v>
      </c>
      <c r="C20" s="7">
        <v>17</v>
      </c>
      <c r="D20" s="7">
        <v>18</v>
      </c>
      <c r="E20" s="7">
        <f t="shared" si="0"/>
        <v>-1</v>
      </c>
      <c r="F20" s="7">
        <f t="shared" si="1"/>
        <v>1</v>
      </c>
    </row>
    <row r="21" spans="1:6">
      <c r="A21" s="6">
        <v>18</v>
      </c>
      <c r="B21" s="3" t="s">
        <v>39</v>
      </c>
      <c r="C21" s="7">
        <v>18</v>
      </c>
      <c r="D21" s="7">
        <v>8</v>
      </c>
      <c r="E21" s="7">
        <f t="shared" si="0"/>
        <v>10</v>
      </c>
      <c r="F21" s="7">
        <f t="shared" si="1"/>
        <v>100</v>
      </c>
    </row>
    <row r="22" spans="1:6">
      <c r="A22" s="6">
        <v>19</v>
      </c>
      <c r="B22" s="3" t="s">
        <v>40</v>
      </c>
      <c r="C22" s="7">
        <v>18</v>
      </c>
      <c r="D22" s="7">
        <v>15</v>
      </c>
      <c r="E22" s="7">
        <f t="shared" si="0"/>
        <v>3</v>
      </c>
      <c r="F22" s="7">
        <f t="shared" si="1"/>
        <v>9</v>
      </c>
    </row>
    <row r="23" spans="1:6">
      <c r="A23" s="6">
        <v>20</v>
      </c>
      <c r="B23" s="3" t="s">
        <v>41</v>
      </c>
      <c r="C23" s="7">
        <v>20</v>
      </c>
      <c r="D23" s="7">
        <v>14</v>
      </c>
      <c r="E23" s="7">
        <f t="shared" si="0"/>
        <v>6</v>
      </c>
      <c r="F23" s="7">
        <f t="shared" si="1"/>
        <v>36</v>
      </c>
    </row>
    <row r="24" spans="1:6" ht="15">
      <c r="A24" s="8" t="s">
        <v>42</v>
      </c>
      <c r="B24" s="8"/>
      <c r="C24" s="9"/>
      <c r="D24" s="9"/>
      <c r="E24" s="9">
        <f>SUM(E4:E23)</f>
        <v>-1</v>
      </c>
      <c r="F24" s="9">
        <f>SUM(F4:F23)</f>
        <v>795</v>
      </c>
    </row>
  </sheetData>
  <mergeCells count="5">
    <mergeCell ref="A1:F1"/>
    <mergeCell ref="H12:I12"/>
    <mergeCell ref="H13:I13"/>
    <mergeCell ref="H14:I14"/>
    <mergeCell ref="H15:I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6"/>
  <sheetViews>
    <sheetView tabSelected="1" topLeftCell="A25" workbookViewId="0">
      <selection sqref="A1:H1"/>
    </sheetView>
  </sheetViews>
  <sheetFormatPr defaultRowHeight="14.25"/>
  <cols>
    <col min="1" max="1" width="54.5" customWidth="1"/>
    <col min="2" max="2" width="42" customWidth="1"/>
    <col min="3" max="4" width="18" customWidth="1"/>
    <col min="5" max="6" width="15" customWidth="1"/>
    <col min="7" max="7" width="5.25" customWidth="1"/>
    <col min="8" max="8" width="5.75" customWidth="1"/>
    <col min="11" max="12" width="22" customWidth="1"/>
  </cols>
  <sheetData>
    <row r="1" spans="1:12" ht="16.5">
      <c r="A1" s="13" t="s">
        <v>43</v>
      </c>
      <c r="B1" s="12"/>
      <c r="C1" s="12"/>
      <c r="D1" s="12"/>
      <c r="E1" s="12"/>
      <c r="F1" s="12"/>
      <c r="G1" s="12"/>
      <c r="H1" s="12"/>
    </row>
    <row r="3" spans="1:12" ht="45">
      <c r="A3" s="5" t="s">
        <v>1</v>
      </c>
      <c r="B3" s="5" t="s">
        <v>44</v>
      </c>
      <c r="C3" s="5" t="s">
        <v>45</v>
      </c>
      <c r="D3" s="5" t="s">
        <v>46</v>
      </c>
      <c r="E3" s="5" t="s">
        <v>47</v>
      </c>
      <c r="F3" s="5" t="s">
        <v>48</v>
      </c>
      <c r="G3" s="5" t="s">
        <v>5</v>
      </c>
      <c r="H3" s="5" t="s">
        <v>6</v>
      </c>
      <c r="K3" s="1" t="s">
        <v>7</v>
      </c>
      <c r="L3" s="1" t="s">
        <v>8</v>
      </c>
    </row>
    <row r="4" spans="1:12">
      <c r="A4">
        <v>1</v>
      </c>
      <c r="B4" s="3" t="s">
        <v>49</v>
      </c>
      <c r="C4" s="10">
        <v>8.64</v>
      </c>
      <c r="D4" s="10">
        <v>15</v>
      </c>
      <c r="E4" s="10" t="e">
        <f t="shared" ref="E4:E21" ca="1" si="0">_xludf.RANK.EQ(C4,$C$4:$C$21,0)+(COUNTIF($C$4:$C$21,C4)-1)/2</f>
        <v>#NAME?</v>
      </c>
      <c r="F4" s="10" t="e">
        <f t="shared" ref="F4:F21" ca="1" si="1">_xludf.RANK.EQ(D4,$D$4:$D$21,0)+(COUNTIF($D$4:$D$21,D4)-1)/2</f>
        <v>#NAME?</v>
      </c>
      <c r="G4" s="10" t="e">
        <f t="shared" ref="G4:G21" ca="1" si="2">E4-F4</f>
        <v>#NAME?</v>
      </c>
      <c r="H4" s="10" t="e">
        <f t="shared" ref="H4:H21" ca="1" si="3">G4^2</f>
        <v>#NAME?</v>
      </c>
      <c r="K4" t="s">
        <v>10</v>
      </c>
      <c r="L4">
        <f ca="1">COUNT(E4:E21)</f>
        <v>0</v>
      </c>
    </row>
    <row r="5" spans="1:12">
      <c r="A5">
        <v>2</v>
      </c>
      <c r="B5" s="3" t="s">
        <v>50</v>
      </c>
      <c r="C5" s="10">
        <v>7.89</v>
      </c>
      <c r="D5" s="10">
        <v>7</v>
      </c>
      <c r="E5" s="10" t="e">
        <f t="shared" ca="1" si="0"/>
        <v>#NAME?</v>
      </c>
      <c r="F5" s="10" t="e">
        <f t="shared" ca="1" si="1"/>
        <v>#NAME?</v>
      </c>
      <c r="G5" s="10" t="e">
        <f t="shared" ca="1" si="2"/>
        <v>#NAME?</v>
      </c>
      <c r="H5" s="10" t="e">
        <f t="shared" ca="1" si="3"/>
        <v>#NAME?</v>
      </c>
      <c r="K5" t="s">
        <v>12</v>
      </c>
      <c r="L5" s="2" t="e">
        <f ca="1">H22</f>
        <v>#NAME?</v>
      </c>
    </row>
    <row r="6" spans="1:12">
      <c r="A6">
        <v>3</v>
      </c>
      <c r="B6" s="3" t="s">
        <v>51</v>
      </c>
      <c r="C6" s="10">
        <v>8.3800000000000008</v>
      </c>
      <c r="D6" s="10">
        <v>12</v>
      </c>
      <c r="E6" s="10" t="e">
        <f t="shared" ca="1" si="0"/>
        <v>#NAME?</v>
      </c>
      <c r="F6" s="10" t="e">
        <f t="shared" ca="1" si="1"/>
        <v>#NAME?</v>
      </c>
      <c r="G6" s="10" t="e">
        <f t="shared" ca="1" si="2"/>
        <v>#NAME?</v>
      </c>
      <c r="H6" s="10" t="e">
        <f t="shared" ca="1" si="3"/>
        <v>#NAME?</v>
      </c>
      <c r="K6" t="s">
        <v>52</v>
      </c>
      <c r="L6" s="2">
        <v>0.5</v>
      </c>
    </row>
    <row r="7" spans="1:12">
      <c r="A7">
        <v>4</v>
      </c>
      <c r="B7" s="3" t="s">
        <v>53</v>
      </c>
      <c r="C7" s="10">
        <v>6.97</v>
      </c>
      <c r="D7" s="10">
        <v>5</v>
      </c>
      <c r="E7" s="10" t="e">
        <f t="shared" ca="1" si="0"/>
        <v>#NAME?</v>
      </c>
      <c r="F7" s="10" t="e">
        <f t="shared" ca="1" si="1"/>
        <v>#NAME?</v>
      </c>
      <c r="G7" s="10" t="e">
        <f t="shared" ca="1" si="2"/>
        <v>#NAME?</v>
      </c>
      <c r="H7" s="10" t="e">
        <f t="shared" ca="1" si="3"/>
        <v>#NAME?</v>
      </c>
      <c r="K7" t="s">
        <v>54</v>
      </c>
      <c r="L7" s="2">
        <v>1</v>
      </c>
    </row>
    <row r="8" spans="1:12">
      <c r="A8">
        <v>5</v>
      </c>
      <c r="B8" s="3" t="s">
        <v>55</v>
      </c>
      <c r="C8" s="10">
        <v>8.2799999999999994</v>
      </c>
      <c r="D8" s="10">
        <v>14</v>
      </c>
      <c r="E8" s="10" t="e">
        <f t="shared" ca="1" si="0"/>
        <v>#NAME?</v>
      </c>
      <c r="F8" s="10" t="e">
        <f t="shared" ca="1" si="1"/>
        <v>#NAME?</v>
      </c>
      <c r="G8" s="10" t="e">
        <f t="shared" ca="1" si="2"/>
        <v>#NAME?</v>
      </c>
      <c r="H8" s="10" t="e">
        <f t="shared" ca="1" si="3"/>
        <v>#NAME?</v>
      </c>
      <c r="K8" t="s">
        <v>56</v>
      </c>
      <c r="L8" s="2" t="e">
        <f ca="1">1-6*(L5+L6+L7)/(L4*(L4^2-1))</f>
        <v>#NAME?</v>
      </c>
    </row>
    <row r="9" spans="1:12">
      <c r="A9">
        <v>6</v>
      </c>
      <c r="B9" s="3" t="s">
        <v>57</v>
      </c>
      <c r="C9" s="10">
        <v>9.56</v>
      </c>
      <c r="D9" s="10">
        <v>18</v>
      </c>
      <c r="E9" s="10" t="e">
        <f t="shared" ca="1" si="0"/>
        <v>#NAME?</v>
      </c>
      <c r="F9" s="10" t="e">
        <f t="shared" ca="1" si="1"/>
        <v>#NAME?</v>
      </c>
      <c r="G9" s="10" t="e">
        <f t="shared" ca="1" si="2"/>
        <v>#NAME?</v>
      </c>
      <c r="H9" s="10" t="e">
        <f t="shared" ca="1" si="3"/>
        <v>#NAME?</v>
      </c>
      <c r="K9" t="s">
        <v>58</v>
      </c>
      <c r="L9" s="2" t="e">
        <f ca="1">1-6*L5/(L4*(L4^2-1))</f>
        <v>#NAME?</v>
      </c>
    </row>
    <row r="10" spans="1:12">
      <c r="A10">
        <v>7</v>
      </c>
      <c r="B10" s="3" t="s">
        <v>59</v>
      </c>
      <c r="C10" s="10">
        <v>8.1199999999999992</v>
      </c>
      <c r="D10" s="10">
        <v>13</v>
      </c>
      <c r="E10" s="10" t="e">
        <f t="shared" ca="1" si="0"/>
        <v>#NAME?</v>
      </c>
      <c r="F10" s="10" t="e">
        <f t="shared" ca="1" si="1"/>
        <v>#NAME?</v>
      </c>
      <c r="G10" s="10" t="e">
        <f t="shared" ca="1" si="2"/>
        <v>#NAME?</v>
      </c>
      <c r="H10" s="10" t="e">
        <f t="shared" ca="1" si="3"/>
        <v>#NAME?</v>
      </c>
      <c r="K10" t="s">
        <v>60</v>
      </c>
      <c r="L10" s="2" t="e">
        <f ca="1">CORREL(E4:E21,F4:F21)</f>
        <v>#NAME?</v>
      </c>
    </row>
    <row r="11" spans="1:12">
      <c r="A11">
        <v>8</v>
      </c>
      <c r="B11" s="3" t="s">
        <v>61</v>
      </c>
      <c r="C11" s="10">
        <v>8.41</v>
      </c>
      <c r="D11" s="10">
        <v>17</v>
      </c>
      <c r="E11" s="10" t="e">
        <f t="shared" ca="1" si="0"/>
        <v>#NAME?</v>
      </c>
      <c r="F11" s="10" t="e">
        <f t="shared" ca="1" si="1"/>
        <v>#NAME?</v>
      </c>
      <c r="G11" s="10" t="e">
        <f t="shared" ca="1" si="2"/>
        <v>#NAME?</v>
      </c>
      <c r="H11" s="10" t="e">
        <f t="shared" ca="1" si="3"/>
        <v>#NAME?</v>
      </c>
      <c r="K11" t="s">
        <v>16</v>
      </c>
      <c r="L11" s="2">
        <v>0.47</v>
      </c>
    </row>
    <row r="12" spans="1:12">
      <c r="A12">
        <v>9</v>
      </c>
      <c r="B12" s="3" t="s">
        <v>62</v>
      </c>
      <c r="C12" s="10">
        <v>8</v>
      </c>
      <c r="D12" s="10">
        <v>19</v>
      </c>
      <c r="E12" s="10" t="e">
        <f t="shared" ca="1" si="0"/>
        <v>#NAME?</v>
      </c>
      <c r="F12" s="10" t="e">
        <f t="shared" ca="1" si="1"/>
        <v>#NAME?</v>
      </c>
      <c r="G12" s="10" t="e">
        <f t="shared" ca="1" si="2"/>
        <v>#NAME?</v>
      </c>
      <c r="H12" s="10" t="e">
        <f t="shared" ca="1" si="3"/>
        <v>#NAME?</v>
      </c>
      <c r="K12" t="s">
        <v>18</v>
      </c>
      <c r="L12" s="2">
        <v>0.6</v>
      </c>
    </row>
    <row r="13" spans="1:12">
      <c r="A13">
        <v>10</v>
      </c>
      <c r="B13" s="3" t="s">
        <v>63</v>
      </c>
      <c r="C13" s="10">
        <v>8.7100000000000009</v>
      </c>
      <c r="D13" s="10">
        <v>9</v>
      </c>
      <c r="E13" s="10" t="e">
        <f t="shared" ca="1" si="0"/>
        <v>#NAME?</v>
      </c>
      <c r="F13" s="10" t="e">
        <f t="shared" ca="1" si="1"/>
        <v>#NAME?</v>
      </c>
      <c r="G13" s="10" t="e">
        <f t="shared" ca="1" si="2"/>
        <v>#NAME?</v>
      </c>
      <c r="H13" s="10" t="e">
        <f t="shared" ca="1" si="3"/>
        <v>#NAME?</v>
      </c>
    </row>
    <row r="14" spans="1:12">
      <c r="A14">
        <v>11</v>
      </c>
      <c r="B14" s="3" t="s">
        <v>64</v>
      </c>
      <c r="C14" s="10">
        <v>7.74</v>
      </c>
      <c r="D14" s="10">
        <v>16</v>
      </c>
      <c r="E14" s="10" t="e">
        <f t="shared" ca="1" si="0"/>
        <v>#NAME?</v>
      </c>
      <c r="F14" s="10" t="e">
        <f t="shared" ca="1" si="1"/>
        <v>#NAME?</v>
      </c>
      <c r="G14" s="10" t="e">
        <f t="shared" ca="1" si="2"/>
        <v>#NAME?</v>
      </c>
      <c r="H14" s="10" t="e">
        <f t="shared" ca="1" si="3"/>
        <v>#NAME?</v>
      </c>
    </row>
    <row r="15" spans="1:12">
      <c r="A15">
        <v>12</v>
      </c>
      <c r="B15" s="3" t="s">
        <v>65</v>
      </c>
      <c r="C15" s="10">
        <v>8.1</v>
      </c>
      <c r="D15" s="10">
        <v>11</v>
      </c>
      <c r="E15" s="10" t="e">
        <f t="shared" ca="1" si="0"/>
        <v>#NAME?</v>
      </c>
      <c r="F15" s="10" t="e">
        <f t="shared" ca="1" si="1"/>
        <v>#NAME?</v>
      </c>
      <c r="G15" s="10" t="e">
        <f t="shared" ca="1" si="2"/>
        <v>#NAME?</v>
      </c>
      <c r="H15" s="10" t="e">
        <f t="shared" ca="1" si="3"/>
        <v>#NAME?</v>
      </c>
    </row>
    <row r="16" spans="1:12">
      <c r="A16">
        <v>13</v>
      </c>
      <c r="B16" s="3" t="s">
        <v>66</v>
      </c>
      <c r="C16" s="10">
        <v>9.02</v>
      </c>
      <c r="D16" s="10">
        <v>12</v>
      </c>
      <c r="E16" s="10" t="e">
        <f t="shared" ca="1" si="0"/>
        <v>#NAME?</v>
      </c>
      <c r="F16" s="10" t="e">
        <f t="shared" ca="1" si="1"/>
        <v>#NAME?</v>
      </c>
      <c r="G16" s="10" t="e">
        <f t="shared" ca="1" si="2"/>
        <v>#NAME?</v>
      </c>
      <c r="H16" s="10" t="e">
        <f t="shared" ca="1" si="3"/>
        <v>#NAME?</v>
      </c>
    </row>
    <row r="17" spans="1:8">
      <c r="A17">
        <v>14</v>
      </c>
      <c r="B17" s="3" t="s">
        <v>67</v>
      </c>
      <c r="C17" s="10">
        <v>7.89</v>
      </c>
      <c r="D17" s="10">
        <v>10</v>
      </c>
      <c r="E17" s="10" t="e">
        <f t="shared" ca="1" si="0"/>
        <v>#NAME?</v>
      </c>
      <c r="F17" s="10" t="e">
        <f t="shared" ca="1" si="1"/>
        <v>#NAME?</v>
      </c>
      <c r="G17" s="10" t="e">
        <f t="shared" ca="1" si="2"/>
        <v>#NAME?</v>
      </c>
      <c r="H17" s="10" t="e">
        <f t="shared" ca="1" si="3"/>
        <v>#NAME?</v>
      </c>
    </row>
    <row r="18" spans="1:8">
      <c r="A18">
        <v>15</v>
      </c>
      <c r="B18" s="3" t="s">
        <v>68</v>
      </c>
      <c r="C18" s="10">
        <v>8.74</v>
      </c>
      <c r="D18" s="10">
        <v>8</v>
      </c>
      <c r="E18" s="10" t="e">
        <f t="shared" ca="1" si="0"/>
        <v>#NAME?</v>
      </c>
      <c r="F18" s="10" t="e">
        <f t="shared" ca="1" si="1"/>
        <v>#NAME?</v>
      </c>
      <c r="G18" s="10" t="e">
        <f t="shared" ca="1" si="2"/>
        <v>#NAME?</v>
      </c>
      <c r="H18" s="10" t="e">
        <f t="shared" ca="1" si="3"/>
        <v>#NAME?</v>
      </c>
    </row>
    <row r="19" spans="1:8">
      <c r="A19">
        <v>16</v>
      </c>
      <c r="B19" s="3" t="s">
        <v>69</v>
      </c>
      <c r="C19" s="10">
        <v>7.84</v>
      </c>
      <c r="D19" s="10">
        <v>6</v>
      </c>
      <c r="E19" s="10" t="e">
        <f t="shared" ca="1" si="0"/>
        <v>#NAME?</v>
      </c>
      <c r="F19" s="10" t="e">
        <f t="shared" ca="1" si="1"/>
        <v>#NAME?</v>
      </c>
      <c r="G19" s="10" t="e">
        <f t="shared" ca="1" si="2"/>
        <v>#NAME?</v>
      </c>
      <c r="H19" s="10" t="e">
        <f t="shared" ca="1" si="3"/>
        <v>#NAME?</v>
      </c>
    </row>
    <row r="20" spans="1:8">
      <c r="A20">
        <v>17</v>
      </c>
      <c r="B20" s="3" t="s">
        <v>70</v>
      </c>
      <c r="C20" s="10">
        <v>7.67</v>
      </c>
      <c r="D20" s="10">
        <v>4</v>
      </c>
      <c r="E20" s="10" t="e">
        <f t="shared" ca="1" si="0"/>
        <v>#NAME?</v>
      </c>
      <c r="F20" s="10" t="e">
        <f t="shared" ca="1" si="1"/>
        <v>#NAME?</v>
      </c>
      <c r="G20" s="10" t="e">
        <f t="shared" ca="1" si="2"/>
        <v>#NAME?</v>
      </c>
      <c r="H20" s="10" t="e">
        <f t="shared" ca="1" si="3"/>
        <v>#NAME?</v>
      </c>
    </row>
    <row r="21" spans="1:8" ht="28.5">
      <c r="A21">
        <v>18</v>
      </c>
      <c r="B21" s="3" t="s">
        <v>71</v>
      </c>
      <c r="C21" s="10">
        <v>7.23</v>
      </c>
      <c r="D21" s="10">
        <v>8</v>
      </c>
      <c r="E21" s="10" t="e">
        <f t="shared" ca="1" si="0"/>
        <v>#NAME?</v>
      </c>
      <c r="F21" s="10" t="e">
        <f t="shared" ca="1" si="1"/>
        <v>#NAME?</v>
      </c>
      <c r="G21" s="10" t="e">
        <f t="shared" ca="1" si="2"/>
        <v>#NAME?</v>
      </c>
      <c r="H21" s="10" t="e">
        <f t="shared" ca="1" si="3"/>
        <v>#NAME?</v>
      </c>
    </row>
    <row r="22" spans="1:8" ht="15">
      <c r="A22" s="8" t="s">
        <v>42</v>
      </c>
      <c r="B22" s="8"/>
      <c r="C22" s="11"/>
      <c r="D22" s="11"/>
      <c r="E22" s="11"/>
      <c r="F22" s="11"/>
      <c r="G22" s="11" t="e">
        <f ca="1">SUM(G4:G21)</f>
        <v>#NAME?</v>
      </c>
      <c r="H22" s="11" t="e">
        <f ca="1">SUM(H4:H21)</f>
        <v>#NAME?</v>
      </c>
    </row>
    <row r="25" spans="1:8" ht="15">
      <c r="A25" s="16" t="s">
        <v>72</v>
      </c>
      <c r="B25" s="12"/>
      <c r="C25" s="12"/>
      <c r="D25" s="12"/>
      <c r="E25" s="12"/>
      <c r="F25" s="12"/>
    </row>
    <row r="27" spans="1:8" ht="15">
      <c r="A27" s="4" t="s">
        <v>1</v>
      </c>
      <c r="B27" s="4" t="s">
        <v>44</v>
      </c>
      <c r="C27" s="4" t="s">
        <v>73</v>
      </c>
      <c r="D27" s="4" t="s">
        <v>74</v>
      </c>
      <c r="E27" s="4" t="s">
        <v>5</v>
      </c>
      <c r="F27" s="4" t="s">
        <v>6</v>
      </c>
    </row>
    <row r="28" spans="1:8">
      <c r="A28">
        <v>1</v>
      </c>
      <c r="B28" t="s">
        <v>57</v>
      </c>
      <c r="C28" s="10">
        <v>1</v>
      </c>
      <c r="D28" s="10">
        <v>2</v>
      </c>
      <c r="E28" s="10">
        <f t="shared" ref="E28:E45" si="4">C28-D28</f>
        <v>-1</v>
      </c>
      <c r="F28" s="10">
        <f t="shared" ref="F28:F45" si="5">E28^2</f>
        <v>1</v>
      </c>
    </row>
    <row r="29" spans="1:8">
      <c r="A29">
        <v>2</v>
      </c>
      <c r="B29" t="s">
        <v>66</v>
      </c>
      <c r="C29" s="10">
        <v>2</v>
      </c>
      <c r="D29" s="10">
        <v>8.5</v>
      </c>
      <c r="E29" s="10">
        <f t="shared" si="4"/>
        <v>-6.5</v>
      </c>
      <c r="F29" s="10">
        <f t="shared" si="5"/>
        <v>42.25</v>
      </c>
    </row>
    <row r="30" spans="1:8">
      <c r="A30">
        <v>3</v>
      </c>
      <c r="B30" t="s">
        <v>68</v>
      </c>
      <c r="C30" s="10">
        <v>3</v>
      </c>
      <c r="D30" s="10">
        <v>13.5</v>
      </c>
      <c r="E30" s="10">
        <f t="shared" si="4"/>
        <v>-10.5</v>
      </c>
      <c r="F30" s="10">
        <f t="shared" si="5"/>
        <v>110.25</v>
      </c>
    </row>
    <row r="31" spans="1:8">
      <c r="A31">
        <v>4</v>
      </c>
      <c r="B31" t="s">
        <v>63</v>
      </c>
      <c r="C31" s="10">
        <v>4</v>
      </c>
      <c r="D31" s="10">
        <v>12</v>
      </c>
      <c r="E31" s="10">
        <f t="shared" si="4"/>
        <v>-8</v>
      </c>
      <c r="F31" s="10">
        <f t="shared" si="5"/>
        <v>64</v>
      </c>
    </row>
    <row r="32" spans="1:8">
      <c r="A32">
        <v>5</v>
      </c>
      <c r="B32" t="s">
        <v>49</v>
      </c>
      <c r="C32" s="10">
        <v>5</v>
      </c>
      <c r="D32" s="10">
        <v>5</v>
      </c>
      <c r="E32" s="10">
        <f t="shared" si="4"/>
        <v>0</v>
      </c>
      <c r="F32" s="10">
        <f t="shared" si="5"/>
        <v>0</v>
      </c>
    </row>
    <row r="33" spans="1:6">
      <c r="A33">
        <v>6</v>
      </c>
      <c r="B33" t="s">
        <v>61</v>
      </c>
      <c r="C33" s="10">
        <v>6</v>
      </c>
      <c r="D33" s="10">
        <v>3</v>
      </c>
      <c r="E33" s="10">
        <f t="shared" si="4"/>
        <v>3</v>
      </c>
      <c r="F33" s="10">
        <f t="shared" si="5"/>
        <v>9</v>
      </c>
    </row>
    <row r="34" spans="1:6">
      <c r="A34">
        <v>7</v>
      </c>
      <c r="B34" t="s">
        <v>51</v>
      </c>
      <c r="C34" s="10">
        <v>7</v>
      </c>
      <c r="D34" s="10">
        <v>8.5</v>
      </c>
      <c r="E34" s="10">
        <f t="shared" si="4"/>
        <v>-1.5</v>
      </c>
      <c r="F34" s="10">
        <f t="shared" si="5"/>
        <v>2.25</v>
      </c>
    </row>
    <row r="35" spans="1:6">
      <c r="A35">
        <v>8</v>
      </c>
      <c r="B35" t="s">
        <v>55</v>
      </c>
      <c r="C35" s="10">
        <v>8</v>
      </c>
      <c r="D35" s="10">
        <v>6</v>
      </c>
      <c r="E35" s="10">
        <f t="shared" si="4"/>
        <v>2</v>
      </c>
      <c r="F35" s="10">
        <f t="shared" si="5"/>
        <v>4</v>
      </c>
    </row>
    <row r="36" spans="1:6">
      <c r="A36">
        <v>9</v>
      </c>
      <c r="B36" t="s">
        <v>59</v>
      </c>
      <c r="C36" s="10">
        <v>9</v>
      </c>
      <c r="D36" s="10">
        <v>7</v>
      </c>
      <c r="E36" s="10">
        <f t="shared" si="4"/>
        <v>2</v>
      </c>
      <c r="F36" s="10">
        <f t="shared" si="5"/>
        <v>4</v>
      </c>
    </row>
    <row r="37" spans="1:6">
      <c r="A37">
        <v>10</v>
      </c>
      <c r="B37" t="s">
        <v>65</v>
      </c>
      <c r="C37" s="10">
        <v>10</v>
      </c>
      <c r="D37" s="10">
        <v>10</v>
      </c>
      <c r="E37" s="10">
        <f t="shared" si="4"/>
        <v>0</v>
      </c>
      <c r="F37" s="10">
        <f t="shared" si="5"/>
        <v>0</v>
      </c>
    </row>
    <row r="38" spans="1:6">
      <c r="A38">
        <v>11</v>
      </c>
      <c r="B38" t="s">
        <v>62</v>
      </c>
      <c r="C38" s="10">
        <v>11</v>
      </c>
      <c r="D38" s="10">
        <v>1</v>
      </c>
      <c r="E38" s="10">
        <f t="shared" si="4"/>
        <v>10</v>
      </c>
      <c r="F38" s="10">
        <f t="shared" si="5"/>
        <v>100</v>
      </c>
    </row>
    <row r="39" spans="1:6">
      <c r="A39">
        <v>12</v>
      </c>
      <c r="B39" t="s">
        <v>50</v>
      </c>
      <c r="C39" s="10">
        <v>12.5</v>
      </c>
      <c r="D39" s="10">
        <v>15</v>
      </c>
      <c r="E39" s="10">
        <f t="shared" si="4"/>
        <v>-2.5</v>
      </c>
      <c r="F39" s="10">
        <f t="shared" si="5"/>
        <v>6.25</v>
      </c>
    </row>
    <row r="40" spans="1:6">
      <c r="A40">
        <v>13</v>
      </c>
      <c r="B40" t="s">
        <v>67</v>
      </c>
      <c r="C40" s="10">
        <v>12.5</v>
      </c>
      <c r="D40" s="10">
        <v>11</v>
      </c>
      <c r="E40" s="10">
        <f t="shared" si="4"/>
        <v>1.5</v>
      </c>
      <c r="F40" s="10">
        <f t="shared" si="5"/>
        <v>2.25</v>
      </c>
    </row>
    <row r="41" spans="1:6">
      <c r="A41">
        <v>14</v>
      </c>
      <c r="B41" t="s">
        <v>69</v>
      </c>
      <c r="C41" s="10">
        <v>14</v>
      </c>
      <c r="D41" s="10">
        <v>16</v>
      </c>
      <c r="E41" s="10">
        <f t="shared" si="4"/>
        <v>-2</v>
      </c>
      <c r="F41" s="10">
        <f t="shared" si="5"/>
        <v>4</v>
      </c>
    </row>
    <row r="42" spans="1:6">
      <c r="A42">
        <v>15</v>
      </c>
      <c r="B42" t="s">
        <v>64</v>
      </c>
      <c r="C42" s="10">
        <v>15</v>
      </c>
      <c r="D42" s="10">
        <v>4</v>
      </c>
      <c r="E42" s="10">
        <f t="shared" si="4"/>
        <v>11</v>
      </c>
      <c r="F42" s="10">
        <f t="shared" si="5"/>
        <v>121</v>
      </c>
    </row>
    <row r="43" spans="1:6">
      <c r="A43">
        <v>16</v>
      </c>
      <c r="B43" t="s">
        <v>70</v>
      </c>
      <c r="C43" s="10">
        <v>16</v>
      </c>
      <c r="D43" s="10">
        <v>18</v>
      </c>
      <c r="E43" s="10">
        <f t="shared" si="4"/>
        <v>-2</v>
      </c>
      <c r="F43" s="10">
        <f t="shared" si="5"/>
        <v>4</v>
      </c>
    </row>
    <row r="44" spans="1:6">
      <c r="A44">
        <v>17</v>
      </c>
      <c r="B44" t="s">
        <v>71</v>
      </c>
      <c r="C44" s="10">
        <v>17</v>
      </c>
      <c r="D44" s="10">
        <v>13.5</v>
      </c>
      <c r="E44" s="10">
        <f t="shared" si="4"/>
        <v>3.5</v>
      </c>
      <c r="F44" s="10">
        <f t="shared" si="5"/>
        <v>12.25</v>
      </c>
    </row>
    <row r="45" spans="1:6">
      <c r="A45">
        <v>18</v>
      </c>
      <c r="B45" t="s">
        <v>53</v>
      </c>
      <c r="C45" s="10">
        <v>18</v>
      </c>
      <c r="D45" s="10">
        <v>17</v>
      </c>
      <c r="E45" s="10">
        <f t="shared" si="4"/>
        <v>1</v>
      </c>
      <c r="F45" s="10">
        <f t="shared" si="5"/>
        <v>1</v>
      </c>
    </row>
    <row r="46" spans="1:6" ht="15">
      <c r="A46" s="8" t="s">
        <v>42</v>
      </c>
      <c r="B46" s="8"/>
      <c r="C46" s="11"/>
      <c r="D46" s="11"/>
      <c r="E46" s="11">
        <f>SUM(E28:E45)</f>
        <v>0</v>
      </c>
      <c r="F46" s="11">
        <f>SUM(F28:F45)</f>
        <v>487.5</v>
      </c>
    </row>
  </sheetData>
  <mergeCells count="2">
    <mergeCell ref="A1:H1"/>
    <mergeCell ref="A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3.1 Спирмен</vt:lpstr>
      <vt:lpstr>3.2 Профили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</dc:creator>
  <cp:lastModifiedBy>Emin Elizbaryan</cp:lastModifiedBy>
  <dcterms:created xsi:type="dcterms:W3CDTF">2026-06-15T19:16:09Z</dcterms:created>
  <dcterms:modified xsi:type="dcterms:W3CDTF">2026-06-15T19:16:09Z</dcterms:modified>
</cp:coreProperties>
</file>