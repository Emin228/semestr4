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асть 1" sheetId="1" r:id="rId5"/>
    <sheet state="visible" name="Часть 2" sheetId="2" r:id="rId6"/>
    <sheet state="visible" name="Часть 3" sheetId="3" r:id="rId7"/>
  </sheets>
  <definedNames/>
  <calcPr/>
</workbook>
</file>

<file path=xl/sharedStrings.xml><?xml version="1.0" encoding="utf-8"?>
<sst xmlns="http://schemas.openxmlformats.org/spreadsheetml/2006/main" count="77" uniqueCount="56">
  <si>
    <t>№</t>
  </si>
  <si>
    <t>X: время решения наглядно-образных заданий</t>
  </si>
  <si>
    <t>Y: время решения вербальных заданий</t>
  </si>
  <si>
    <t>Показатель</t>
  </si>
  <si>
    <t>Формула Excel</t>
  </si>
  <si>
    <t>n</t>
  </si>
  <si>
    <t>r Пирсона</t>
  </si>
  <si>
    <t>r Пирсона, контроль из лекции</t>
  </si>
  <si>
    <t>Степени свободы</t>
  </si>
  <si>
    <t>t расч.</t>
  </si>
  <si>
    <t>Вывод</t>
  </si>
  <si>
    <t>Пример 2. Коэффициент ранговой корреляции Спирмена</t>
  </si>
  <si>
    <t>Оценка преподавателя, xᵢ</t>
  </si>
  <si>
    <t>Профессия</t>
  </si>
  <si>
    <t>Оценка студента, yᵢ</t>
  </si>
  <si>
    <t>dᵢ=xᵢ-yᵢ</t>
  </si>
  <si>
    <t>dᵢ²</t>
  </si>
  <si>
    <t>Формула/результат</t>
  </si>
  <si>
    <t>профессор</t>
  </si>
  <si>
    <t>врач</t>
  </si>
  <si>
    <t>Σdᵢ²</t>
  </si>
  <si>
    <t>учитель школы</t>
  </si>
  <si>
    <t>rₛ Спирмена</t>
  </si>
  <si>
    <t>директор магазина</t>
  </si>
  <si>
    <t>бухгалтер</t>
  </si>
  <si>
    <t>Теснота</t>
  </si>
  <si>
    <t>банкир</t>
  </si>
  <si>
    <t>водитель</t>
  </si>
  <si>
    <t>журналист</t>
  </si>
  <si>
    <t>ди-джей</t>
  </si>
  <si>
    <t>программист</t>
  </si>
  <si>
    <t>Задача 3.1. Стаж практической работы и время решения контрольной задачи</t>
  </si>
  <si>
    <t>Стаж X, мес.</t>
  </si>
  <si>
    <t>Время Y, мин.</t>
  </si>
  <si>
    <t>Ранг X</t>
  </si>
  <si>
    <t>Ранг Y</t>
  </si>
  <si>
    <t>dᵢ</t>
  </si>
  <si>
    <t>rₛ по формуле</t>
  </si>
  <si>
    <t>rₛ через CORREL рангов</t>
  </si>
  <si>
    <t>Направление</t>
  </si>
  <si>
    <t>Комментарий</t>
  </si>
  <si>
    <t>Задача 3.2. Согласованость оценок трех арбитров</t>
  </si>
  <si>
    <t>Спортсмен</t>
  </si>
  <si>
    <t>Арбитр A</t>
  </si>
  <si>
    <t>Арбитр B</t>
  </si>
  <si>
    <t>Арбитр C</t>
  </si>
  <si>
    <t>Пара</t>
  </si>
  <si>
    <t>A-B</t>
  </si>
  <si>
    <t>A-C</t>
  </si>
  <si>
    <t>B-C</t>
  </si>
  <si>
    <t>Лучшая пара</t>
  </si>
  <si>
    <t>Посетители X</t>
  </si>
  <si>
    <t>Позиция сайта Y</t>
  </si>
  <si>
    <t>Коэффициент корреляции Пирсона</t>
  </si>
  <si>
    <t>Агрессивность X</t>
  </si>
  <si>
    <t>IQ 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</si>
</sst>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1.0"/>
      <color rgb="FF000000"/>
      <name val="Carlito"/>
      <scheme val="minor"/>
    </font>
    <font>
      <sz val="10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EAF3F8"/>
        <bgColor rgb="FFEAF3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shrinkToFit="0" wrapText="1"/>
    </xf>
    <xf borderId="0" fillId="3" fontId="2" numFmtId="0" xfId="0" applyAlignment="1" applyFill="1" applyFont="1">
      <alignment shrinkToFit="0" wrapText="1"/>
    </xf>
    <xf borderId="0" fillId="0" fontId="1" numFmtId="0" xfId="0" applyFont="1"/>
    <xf borderId="0" fillId="3" fontId="2" numFmtId="0" xfId="0" applyAlignment="1" applyFont="1">
      <alignment readingOrder="0" shrinkToFit="0" wrapText="1"/>
    </xf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3" width="22.0"/>
    <col customWidth="1" min="4" max="7" width="18.0"/>
    <col customWidth="1" min="8" max="10" width="20.0"/>
    <col customWidth="1" min="11" max="25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</row>
    <row r="3">
      <c r="A3" s="2" t="s">
        <v>0</v>
      </c>
      <c r="B3" s="2" t="s">
        <v>1</v>
      </c>
      <c r="C3" s="2" t="s">
        <v>2</v>
      </c>
      <c r="E3" s="1"/>
      <c r="F3" s="2" t="s">
        <v>3</v>
      </c>
      <c r="G3" s="2" t="s">
        <v>4</v>
      </c>
      <c r="H3" s="1"/>
      <c r="I3" s="1"/>
      <c r="J3" s="1"/>
    </row>
    <row r="4">
      <c r="A4" s="1">
        <v>1.0</v>
      </c>
      <c r="B4" s="3">
        <v>19.0</v>
      </c>
      <c r="C4" s="3">
        <v>17.0</v>
      </c>
      <c r="E4" s="1"/>
      <c r="F4" s="1" t="s">
        <v>5</v>
      </c>
      <c r="G4" s="1">
        <f>COUNT(B4:B13)</f>
        <v>10</v>
      </c>
      <c r="H4" s="1"/>
      <c r="I4" s="1"/>
      <c r="J4" s="1"/>
    </row>
    <row r="5">
      <c r="A5" s="1">
        <v>2.0</v>
      </c>
      <c r="B5" s="3">
        <v>32.0</v>
      </c>
      <c r="C5" s="3">
        <v>7.0</v>
      </c>
      <c r="E5" s="1"/>
      <c r="F5" s="1" t="s">
        <v>6</v>
      </c>
      <c r="G5" s="4">
        <f>CORREL(B4:B13,C4:C13)</f>
        <v>0.5411897923</v>
      </c>
      <c r="H5" s="1"/>
      <c r="I5" s="1"/>
      <c r="J5" s="1"/>
    </row>
    <row r="6">
      <c r="A6" s="1">
        <v>3.0</v>
      </c>
      <c r="B6" s="3">
        <v>33.0</v>
      </c>
      <c r="C6" s="3">
        <v>17.0</v>
      </c>
      <c r="E6" s="1"/>
      <c r="F6" s="1" t="s">
        <v>7</v>
      </c>
      <c r="G6" s="4">
        <v>0.54119</v>
      </c>
      <c r="H6" s="1"/>
      <c r="I6" s="1"/>
      <c r="J6" s="1"/>
    </row>
    <row r="7">
      <c r="A7" s="1">
        <v>4.0</v>
      </c>
      <c r="B7" s="3">
        <v>44.0</v>
      </c>
      <c r="C7" s="3">
        <v>28.0</v>
      </c>
      <c r="E7" s="1"/>
      <c r="F7" s="1" t="s">
        <v>8</v>
      </c>
      <c r="G7" s="4">
        <f>G4-2</f>
        <v>8</v>
      </c>
      <c r="H7" s="1"/>
      <c r="I7" s="1"/>
      <c r="J7" s="1"/>
    </row>
    <row r="8">
      <c r="A8" s="1">
        <v>5.0</v>
      </c>
      <c r="B8" s="3">
        <v>28.0</v>
      </c>
      <c r="C8" s="3">
        <v>27.0</v>
      </c>
      <c r="E8" s="1"/>
      <c r="F8" s="1" t="s">
        <v>9</v>
      </c>
      <c r="G8" s="4">
        <f>ABS(G5)*SQRT(G7/(1-G5^2))</f>
        <v>1.820329437</v>
      </c>
      <c r="H8" s="1"/>
      <c r="I8" s="1"/>
      <c r="J8" s="1"/>
    </row>
    <row r="9">
      <c r="A9" s="1">
        <v>6.0</v>
      </c>
      <c r="B9" s="3">
        <v>35.0</v>
      </c>
      <c r="C9" s="3">
        <v>31.0</v>
      </c>
      <c r="E9" s="1"/>
      <c r="F9" s="1" t="s">
        <v>10</v>
      </c>
      <c r="G9" s="1" t="str">
        <f>IF(ABS(G5)&gt;=0.7,"сильная",IF(ABS(G5)&gt;=0.3,"средняя","слабая"))</f>
        <v>средняя</v>
      </c>
      <c r="H9" s="1"/>
      <c r="I9" s="1"/>
      <c r="J9" s="1"/>
    </row>
    <row r="10">
      <c r="A10" s="1">
        <v>7.0</v>
      </c>
      <c r="B10" s="3">
        <v>39.0</v>
      </c>
      <c r="C10" s="3">
        <v>20.0</v>
      </c>
      <c r="E10" s="1"/>
      <c r="F10" s="1"/>
      <c r="G10" s="1"/>
      <c r="H10" s="1"/>
      <c r="I10" s="1"/>
      <c r="J10" s="1"/>
    </row>
    <row r="11">
      <c r="A11" s="1">
        <v>8.0</v>
      </c>
      <c r="B11" s="3">
        <v>39.0</v>
      </c>
      <c r="C11" s="3">
        <v>17.0</v>
      </c>
      <c r="E11" s="1"/>
      <c r="F11" s="1"/>
      <c r="G11" s="1"/>
      <c r="H11" s="1"/>
      <c r="I11" s="1"/>
      <c r="J11" s="1"/>
    </row>
    <row r="12">
      <c r="A12" s="1">
        <v>9.0</v>
      </c>
      <c r="B12" s="3">
        <v>44.0</v>
      </c>
      <c r="C12" s="3">
        <v>35.0</v>
      </c>
      <c r="E12" s="1"/>
      <c r="F12" s="1"/>
      <c r="G12" s="1"/>
      <c r="H12" s="1"/>
      <c r="I12" s="1"/>
      <c r="J12" s="1"/>
    </row>
    <row r="13">
      <c r="A13" s="1">
        <v>10.0</v>
      </c>
      <c r="B13" s="3">
        <v>44.0</v>
      </c>
      <c r="C13" s="3">
        <v>43.0</v>
      </c>
      <c r="E13" s="1"/>
      <c r="F13" s="1"/>
      <c r="G13" s="1"/>
      <c r="H13" s="1"/>
      <c r="I13" s="1"/>
      <c r="J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>
      <c r="A16" s="5" t="s">
        <v>11</v>
      </c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</row>
    <row r="18">
      <c r="A18" s="2" t="s">
        <v>0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1"/>
      <c r="H18" s="2" t="s">
        <v>3</v>
      </c>
      <c r="I18" s="2" t="s">
        <v>17</v>
      </c>
      <c r="J18" s="1"/>
    </row>
    <row r="19" ht="15.75" customHeight="1">
      <c r="A19" s="1">
        <v>1.0</v>
      </c>
      <c r="B19" s="1">
        <v>3.0</v>
      </c>
      <c r="C19" s="1" t="s">
        <v>18</v>
      </c>
      <c r="D19" s="1">
        <v>2.0</v>
      </c>
      <c r="E19" s="1">
        <f t="shared" ref="E19:E28" si="1">B19-D19</f>
        <v>1</v>
      </c>
      <c r="F19" s="1">
        <f t="shared" ref="F19:F28" si="2">E19^2</f>
        <v>1</v>
      </c>
      <c r="G19" s="1"/>
      <c r="H19" s="1" t="s">
        <v>5</v>
      </c>
      <c r="I19" s="4">
        <f>COUNT(B19:B28)</f>
        <v>10</v>
      </c>
      <c r="J19" s="1"/>
    </row>
    <row r="20" ht="15.75" customHeight="1">
      <c r="A20" s="1">
        <v>2.0</v>
      </c>
      <c r="B20" s="1">
        <v>1.0</v>
      </c>
      <c r="C20" s="1" t="s">
        <v>19</v>
      </c>
      <c r="D20" s="1">
        <v>1.0</v>
      </c>
      <c r="E20" s="1">
        <f t="shared" si="1"/>
        <v>0</v>
      </c>
      <c r="F20" s="1">
        <f t="shared" si="2"/>
        <v>0</v>
      </c>
      <c r="G20" s="1"/>
      <c r="H20" s="1" t="s">
        <v>20</v>
      </c>
      <c r="I20" s="4">
        <f>F29</f>
        <v>42</v>
      </c>
      <c r="J20" s="1"/>
    </row>
    <row r="21" ht="15.75" customHeight="1">
      <c r="A21" s="1">
        <v>3.0</v>
      </c>
      <c r="B21" s="1">
        <v>4.0</v>
      </c>
      <c r="C21" s="1" t="s">
        <v>21</v>
      </c>
      <c r="D21" s="1">
        <v>7.0</v>
      </c>
      <c r="E21" s="1">
        <f t="shared" si="1"/>
        <v>-3</v>
      </c>
      <c r="F21" s="1">
        <f t="shared" si="2"/>
        <v>9</v>
      </c>
      <c r="G21" s="1"/>
      <c r="H21" s="1" t="s">
        <v>22</v>
      </c>
      <c r="I21" s="4">
        <f>1-6*I20/(I19*(I19^2-1))</f>
        <v>0.7454545455</v>
      </c>
      <c r="J21" s="1"/>
    </row>
    <row r="22" ht="15.75" customHeight="1">
      <c r="A22" s="1">
        <v>4.0</v>
      </c>
      <c r="B22" s="1">
        <v>2.0</v>
      </c>
      <c r="C22" s="1" t="s">
        <v>23</v>
      </c>
      <c r="D22" s="1">
        <v>4.0</v>
      </c>
      <c r="E22" s="1">
        <f t="shared" si="1"/>
        <v>-2</v>
      </c>
      <c r="F22" s="1">
        <f t="shared" si="2"/>
        <v>4</v>
      </c>
      <c r="G22" s="1"/>
      <c r="H22" s="1" t="s">
        <v>9</v>
      </c>
      <c r="I22" s="4">
        <f>ABS(I21)*SQRT((I19-2)/(1-I21^2))</f>
        <v>3.163218674</v>
      </c>
      <c r="J22" s="1"/>
    </row>
    <row r="23" ht="15.75" customHeight="1">
      <c r="A23" s="1">
        <v>5.0</v>
      </c>
      <c r="B23" s="1">
        <v>8.0</v>
      </c>
      <c r="C23" s="1" t="s">
        <v>24</v>
      </c>
      <c r="D23" s="1">
        <v>5.0</v>
      </c>
      <c r="E23" s="1">
        <f t="shared" si="1"/>
        <v>3</v>
      </c>
      <c r="F23" s="1">
        <f t="shared" si="2"/>
        <v>9</v>
      </c>
      <c r="G23" s="1"/>
      <c r="H23" s="1" t="s">
        <v>25</v>
      </c>
      <c r="I23" s="1" t="str">
        <f>IF(ABS(I21)&gt;=0.7,"сильная",IF(ABS(I21)&gt;=0.3,"средняя","слабая"))</f>
        <v>сильная</v>
      </c>
      <c r="J23" s="1"/>
    </row>
    <row r="24" ht="15.75" customHeight="1">
      <c r="A24" s="1">
        <v>6.0</v>
      </c>
      <c r="B24" s="1">
        <v>6.0</v>
      </c>
      <c r="C24" s="1" t="s">
        <v>26</v>
      </c>
      <c r="D24" s="1">
        <v>3.0</v>
      </c>
      <c r="E24" s="1">
        <f t="shared" si="1"/>
        <v>3</v>
      </c>
      <c r="F24" s="1">
        <f t="shared" si="2"/>
        <v>9</v>
      </c>
      <c r="G24" s="1"/>
      <c r="H24" s="1"/>
      <c r="I24" s="1"/>
      <c r="J24" s="1"/>
    </row>
    <row r="25" ht="15.75" customHeight="1">
      <c r="A25" s="1">
        <v>7.0</v>
      </c>
      <c r="B25" s="1">
        <v>9.0</v>
      </c>
      <c r="C25" s="1" t="s">
        <v>27</v>
      </c>
      <c r="D25" s="1">
        <v>9.0</v>
      </c>
      <c r="E25" s="1">
        <f t="shared" si="1"/>
        <v>0</v>
      </c>
      <c r="F25" s="1">
        <f t="shared" si="2"/>
        <v>0</v>
      </c>
      <c r="G25" s="1"/>
      <c r="H25" s="1"/>
      <c r="I25" s="1"/>
      <c r="J25" s="1"/>
    </row>
    <row r="26" ht="15.75" customHeight="1">
      <c r="A26" s="1">
        <v>8.0</v>
      </c>
      <c r="B26" s="1">
        <v>5.0</v>
      </c>
      <c r="C26" s="1" t="s">
        <v>28</v>
      </c>
      <c r="D26" s="1">
        <v>8.0</v>
      </c>
      <c r="E26" s="1">
        <f t="shared" si="1"/>
        <v>-3</v>
      </c>
      <c r="F26" s="1">
        <f t="shared" si="2"/>
        <v>9</v>
      </c>
      <c r="G26" s="1"/>
      <c r="H26" s="1"/>
      <c r="I26" s="1"/>
      <c r="J26" s="1"/>
    </row>
    <row r="27" ht="15.75" customHeight="1">
      <c r="A27" s="1">
        <v>9.0</v>
      </c>
      <c r="B27" s="1">
        <v>10.0</v>
      </c>
      <c r="C27" s="1" t="s">
        <v>29</v>
      </c>
      <c r="D27" s="1">
        <v>10.0</v>
      </c>
      <c r="E27" s="1">
        <f t="shared" si="1"/>
        <v>0</v>
      </c>
      <c r="F27" s="1">
        <f t="shared" si="2"/>
        <v>0</v>
      </c>
      <c r="G27" s="1"/>
      <c r="H27" s="1"/>
      <c r="I27" s="1"/>
      <c r="J27" s="1"/>
    </row>
    <row r="28" ht="15.75" customHeight="1">
      <c r="A28" s="1">
        <v>10.0</v>
      </c>
      <c r="B28" s="1">
        <v>7.0</v>
      </c>
      <c r="C28" s="1" t="s">
        <v>30</v>
      </c>
      <c r="D28" s="1">
        <v>6.0</v>
      </c>
      <c r="E28" s="1">
        <f t="shared" si="1"/>
        <v>1</v>
      </c>
      <c r="F28" s="1">
        <f t="shared" si="2"/>
        <v>1</v>
      </c>
      <c r="G28" s="1"/>
      <c r="H28" s="1"/>
      <c r="I28" s="1"/>
      <c r="J28" s="1"/>
    </row>
    <row r="29" ht="15.75" customHeight="1">
      <c r="A29" s="1"/>
      <c r="B29" s="1"/>
      <c r="C29" s="1"/>
      <c r="D29" s="1"/>
      <c r="E29" s="1">
        <f t="shared" ref="E29:F29" si="3">SUM(E19:E28)</f>
        <v>0</v>
      </c>
      <c r="F29" s="1">
        <f t="shared" si="3"/>
        <v>42</v>
      </c>
      <c r="G29" s="1"/>
      <c r="H29" s="1"/>
      <c r="I29" s="1"/>
      <c r="J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6:J1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3" width="22.0"/>
    <col customWidth="1" min="4" max="7" width="18.0"/>
    <col customWidth="1" min="8" max="10" width="20.0"/>
    <col customWidth="1" min="11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5" t="s">
        <v>31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>
      <c r="A4" s="2" t="s">
        <v>0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16</v>
      </c>
      <c r="I4" s="2" t="s">
        <v>3</v>
      </c>
      <c r="J4" s="2" t="s">
        <v>17</v>
      </c>
    </row>
    <row r="5">
      <c r="A5" s="1">
        <v>1.0</v>
      </c>
      <c r="B5" s="1">
        <v>32.0</v>
      </c>
      <c r="C5" s="1">
        <v>12.0</v>
      </c>
      <c r="D5" s="1">
        <f t="shared" ref="D5:D14" si="1">_xlfn.RANK.AVG(B5,$B$5:$B$14,1)</f>
        <v>10</v>
      </c>
      <c r="E5" s="1">
        <f t="shared" ref="E5:E14" si="2">_xlfn.RANK.AVG(C5,$C$5:$C$14,1)</f>
        <v>4</v>
      </c>
      <c r="F5" s="1">
        <f t="shared" ref="F5:F14" si="3">D5-E5</f>
        <v>6</v>
      </c>
      <c r="G5" s="1">
        <f t="shared" ref="G5:G14" si="4">F5^2</f>
        <v>36</v>
      </c>
      <c r="I5" s="1" t="s">
        <v>5</v>
      </c>
      <c r="J5" s="4">
        <f>COUNT(B5:B14)</f>
        <v>10</v>
      </c>
    </row>
    <row r="6">
      <c r="A6" s="1">
        <v>2.0</v>
      </c>
      <c r="B6" s="1">
        <v>15.0</v>
      </c>
      <c r="C6" s="1">
        <v>24.0</v>
      </c>
      <c r="D6" s="1">
        <f t="shared" si="1"/>
        <v>1</v>
      </c>
      <c r="E6" s="1">
        <f t="shared" si="2"/>
        <v>10</v>
      </c>
      <c r="F6" s="1">
        <f t="shared" si="3"/>
        <v>-9</v>
      </c>
      <c r="G6" s="1">
        <f t="shared" si="4"/>
        <v>81</v>
      </c>
      <c r="I6" s="1" t="s">
        <v>20</v>
      </c>
      <c r="J6" s="4">
        <f>G15</f>
        <v>306</v>
      </c>
    </row>
    <row r="7">
      <c r="A7" s="1">
        <v>3.0</v>
      </c>
      <c r="B7" s="1">
        <v>16.0</v>
      </c>
      <c r="C7" s="1">
        <v>23.0</v>
      </c>
      <c r="D7" s="1">
        <f t="shared" si="1"/>
        <v>2</v>
      </c>
      <c r="E7" s="1">
        <f t="shared" si="2"/>
        <v>9</v>
      </c>
      <c r="F7" s="1">
        <f t="shared" si="3"/>
        <v>-7</v>
      </c>
      <c r="G7" s="1">
        <f t="shared" si="4"/>
        <v>49</v>
      </c>
      <c r="I7" s="1" t="s">
        <v>37</v>
      </c>
      <c r="J7" s="4">
        <f>1-6*J6/(J5*(J5^2-1))</f>
        <v>-0.8545454545</v>
      </c>
    </row>
    <row r="8">
      <c r="A8" s="1">
        <v>4.0</v>
      </c>
      <c r="B8" s="1">
        <v>18.0</v>
      </c>
      <c r="C8" s="1">
        <v>21.0</v>
      </c>
      <c r="D8" s="1">
        <f t="shared" si="1"/>
        <v>4</v>
      </c>
      <c r="E8" s="1">
        <f t="shared" si="2"/>
        <v>8</v>
      </c>
      <c r="F8" s="1">
        <f t="shared" si="3"/>
        <v>-4</v>
      </c>
      <c r="G8" s="1">
        <f t="shared" si="4"/>
        <v>16</v>
      </c>
      <c r="I8" s="1" t="s">
        <v>38</v>
      </c>
      <c r="J8" s="4">
        <f>CORREL(D5:D14,E5:E14)</f>
        <v>-0.8545454545</v>
      </c>
    </row>
    <row r="9">
      <c r="A9" s="1">
        <v>5.0</v>
      </c>
      <c r="B9" s="1">
        <v>20.0</v>
      </c>
      <c r="C9" s="1">
        <v>20.0</v>
      </c>
      <c r="D9" s="1">
        <f t="shared" si="1"/>
        <v>5</v>
      </c>
      <c r="E9" s="1">
        <f t="shared" si="2"/>
        <v>7</v>
      </c>
      <c r="F9" s="1">
        <f t="shared" si="3"/>
        <v>-2</v>
      </c>
      <c r="G9" s="1">
        <f t="shared" si="4"/>
        <v>4</v>
      </c>
      <c r="I9" s="1" t="s">
        <v>9</v>
      </c>
      <c r="J9" s="4">
        <f>ABS(J7)*SQRT((J5-2)/(1-J7^2))</f>
        <v>4.653693452</v>
      </c>
    </row>
    <row r="10">
      <c r="A10" s="1">
        <v>6.0</v>
      </c>
      <c r="B10" s="1">
        <v>28.0</v>
      </c>
      <c r="C10" s="1">
        <v>9.0</v>
      </c>
      <c r="D10" s="1">
        <f t="shared" si="1"/>
        <v>8</v>
      </c>
      <c r="E10" s="1">
        <f t="shared" si="2"/>
        <v>1</v>
      </c>
      <c r="F10" s="1">
        <f t="shared" si="3"/>
        <v>7</v>
      </c>
      <c r="G10" s="1">
        <f t="shared" si="4"/>
        <v>49</v>
      </c>
      <c r="I10" s="1" t="s">
        <v>39</v>
      </c>
      <c r="J10" s="1" t="str">
        <f>IF(J7&gt;0,"положительная",IF(J7&lt;0,"отрицательная","нет"))</f>
        <v>отрицательная</v>
      </c>
      <c r="W10" s="2" t="s">
        <v>40</v>
      </c>
    </row>
    <row r="11">
      <c r="A11" s="1">
        <v>7.0</v>
      </c>
      <c r="B11" s="1">
        <v>21.0</v>
      </c>
      <c r="C11" s="1">
        <v>11.0</v>
      </c>
      <c r="D11" s="1">
        <f t="shared" si="1"/>
        <v>6</v>
      </c>
      <c r="E11" s="1">
        <f t="shared" si="2"/>
        <v>3</v>
      </c>
      <c r="F11" s="1">
        <f t="shared" si="3"/>
        <v>3</v>
      </c>
      <c r="G11" s="1">
        <f t="shared" si="4"/>
        <v>9</v>
      </c>
      <c r="I11" s="1" t="s">
        <v>25</v>
      </c>
      <c r="J11" s="1" t="str">
        <f>IF(ABS(J7)&gt;=0.7,"сильная",IF(ABS(J7)&gt;=0.3,"средняя","слабая"))</f>
        <v>сильная</v>
      </c>
      <c r="W11" s="1"/>
    </row>
    <row r="12">
      <c r="A12" s="1">
        <v>8.0</v>
      </c>
      <c r="B12" s="1">
        <v>29.0</v>
      </c>
      <c r="C12" s="1">
        <v>10.0</v>
      </c>
      <c r="D12" s="1">
        <f t="shared" si="1"/>
        <v>9</v>
      </c>
      <c r="E12" s="1">
        <f t="shared" si="2"/>
        <v>2</v>
      </c>
      <c r="F12" s="1">
        <f t="shared" si="3"/>
        <v>7</v>
      </c>
      <c r="G12" s="1">
        <f t="shared" si="4"/>
        <v>49</v>
      </c>
      <c r="I12" s="1"/>
      <c r="J12" s="1"/>
      <c r="W12" s="1"/>
    </row>
    <row r="13">
      <c r="A13" s="1">
        <v>9.0</v>
      </c>
      <c r="B13" s="1">
        <v>23.0</v>
      </c>
      <c r="C13" s="1">
        <v>15.0</v>
      </c>
      <c r="D13" s="1">
        <f t="shared" si="1"/>
        <v>7</v>
      </c>
      <c r="E13" s="1">
        <f t="shared" si="2"/>
        <v>5</v>
      </c>
      <c r="F13" s="1">
        <f t="shared" si="3"/>
        <v>2</v>
      </c>
      <c r="G13" s="1">
        <f t="shared" si="4"/>
        <v>4</v>
      </c>
      <c r="I13" s="1"/>
      <c r="J13" s="1"/>
      <c r="W13" s="1"/>
    </row>
    <row r="14">
      <c r="A14" s="1">
        <v>10.0</v>
      </c>
      <c r="B14" s="1">
        <v>17.0</v>
      </c>
      <c r="C14" s="1">
        <v>16.0</v>
      </c>
      <c r="D14" s="1">
        <f t="shared" si="1"/>
        <v>3</v>
      </c>
      <c r="E14" s="1">
        <f t="shared" si="2"/>
        <v>6</v>
      </c>
      <c r="F14" s="1">
        <f t="shared" si="3"/>
        <v>-3</v>
      </c>
      <c r="G14" s="1">
        <f t="shared" si="4"/>
        <v>9</v>
      </c>
      <c r="I14" s="1"/>
      <c r="J14" s="1"/>
      <c r="W14" s="1"/>
    </row>
    <row r="15">
      <c r="A15" s="1"/>
      <c r="B15" s="1"/>
      <c r="C15" s="1"/>
      <c r="D15" s="1"/>
      <c r="E15" s="1"/>
      <c r="F15" s="1">
        <f t="shared" ref="F15:G15" si="5">SUM(F5:F14)</f>
        <v>0</v>
      </c>
      <c r="G15" s="1">
        <f t="shared" si="5"/>
        <v>306</v>
      </c>
      <c r="I15" s="1"/>
      <c r="J15" s="1"/>
      <c r="W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W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W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W18" s="1"/>
    </row>
    <row r="19">
      <c r="A19" s="7" t="s">
        <v>41</v>
      </c>
      <c r="W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W20" s="1"/>
    </row>
    <row r="21" ht="15.75" customHeight="1">
      <c r="A21" s="2" t="s">
        <v>42</v>
      </c>
      <c r="B21" s="2" t="s">
        <v>43</v>
      </c>
      <c r="C21" s="2" t="s">
        <v>44</v>
      </c>
      <c r="D21" s="2" t="s">
        <v>45</v>
      </c>
      <c r="E21" s="1"/>
      <c r="F21" s="2" t="s">
        <v>46</v>
      </c>
      <c r="G21" s="2" t="s">
        <v>20</v>
      </c>
      <c r="H21" s="2" t="s">
        <v>22</v>
      </c>
      <c r="I21" s="2" t="s">
        <v>9</v>
      </c>
      <c r="J21" s="2" t="s">
        <v>10</v>
      </c>
      <c r="W21" s="1"/>
    </row>
    <row r="22" ht="15.75" customHeight="1">
      <c r="A22" s="1">
        <v>1.0</v>
      </c>
      <c r="B22" s="1">
        <v>1.0</v>
      </c>
      <c r="C22" s="1">
        <v>3.0</v>
      </c>
      <c r="D22" s="1">
        <v>6.0</v>
      </c>
      <c r="E22" s="1"/>
      <c r="F22" s="1" t="s">
        <v>47</v>
      </c>
      <c r="G22" s="4">
        <f>SUMXMY2(B22:B31,C22:C31)</f>
        <v>200</v>
      </c>
      <c r="H22" s="4">
        <f t="shared" ref="H22:H24" si="6">1-6*G22/(10*(10^2-1))</f>
        <v>-0.2121212121</v>
      </c>
      <c r="I22" s="4">
        <f t="shared" ref="I22:I24" si="7">ABS(H22)*SQRT((10-2)/(1-H22^2))</f>
        <v>0.6139406135</v>
      </c>
      <c r="J22" s="1" t="str">
        <f t="shared" ref="J22:J24" si="8">IF(H22=MAX($H$22:$H$24),"наиболее согласованы","")</f>
        <v/>
      </c>
    </row>
    <row r="23" ht="15.75" customHeight="1">
      <c r="A23" s="1">
        <v>2.0</v>
      </c>
      <c r="B23" s="1">
        <v>2.0</v>
      </c>
      <c r="C23" s="1">
        <v>10.0</v>
      </c>
      <c r="D23" s="1">
        <v>2.0</v>
      </c>
      <c r="E23" s="1"/>
      <c r="F23" s="1" t="s">
        <v>48</v>
      </c>
      <c r="G23" s="4">
        <f>SUMXMY2(B22:B31,D22:D31)</f>
        <v>60</v>
      </c>
      <c r="H23" s="4">
        <f t="shared" si="6"/>
        <v>0.6363636364</v>
      </c>
      <c r="I23" s="4">
        <f t="shared" si="7"/>
        <v>2.333333333</v>
      </c>
      <c r="J23" s="1" t="str">
        <f t="shared" si="8"/>
        <v>наиболее согласованы</v>
      </c>
    </row>
    <row r="24" ht="15.75" customHeight="1">
      <c r="A24" s="1">
        <v>3.0</v>
      </c>
      <c r="B24" s="1">
        <v>3.0</v>
      </c>
      <c r="C24" s="1">
        <v>7.0</v>
      </c>
      <c r="D24" s="1">
        <v>1.0</v>
      </c>
      <c r="E24" s="1"/>
      <c r="F24" s="1" t="s">
        <v>49</v>
      </c>
      <c r="G24" s="4">
        <f>SUMXMY2(C22:C31,D22:D31)</f>
        <v>214</v>
      </c>
      <c r="H24" s="4">
        <f t="shared" si="6"/>
        <v>-0.296969697</v>
      </c>
      <c r="I24" s="4">
        <f t="shared" si="7"/>
        <v>0.8796404504</v>
      </c>
      <c r="J24" s="1" t="str">
        <f t="shared" si="8"/>
        <v/>
      </c>
    </row>
    <row r="25" ht="15.75" customHeight="1">
      <c r="A25" s="1">
        <v>4.0</v>
      </c>
      <c r="B25" s="1">
        <v>4.0</v>
      </c>
      <c r="C25" s="1">
        <v>2.0</v>
      </c>
      <c r="D25" s="1">
        <v>3.0</v>
      </c>
      <c r="E25" s="1"/>
      <c r="F25" s="1" t="s">
        <v>50</v>
      </c>
      <c r="G25" s="4"/>
      <c r="H25" s="4" t="str">
        <f t="array" ref="H25">INDEX(F22:F24,MATCH(MAX(H22:H24),H22:H24,0))</f>
        <v>A-C</v>
      </c>
      <c r="I25" s="4"/>
      <c r="J25" s="1"/>
    </row>
    <row r="26" ht="15.75" customHeight="1">
      <c r="A26" s="1">
        <v>5.0</v>
      </c>
      <c r="B26" s="1">
        <v>5.0</v>
      </c>
      <c r="C26" s="1">
        <v>8.0</v>
      </c>
      <c r="D26" s="1">
        <v>9.0</v>
      </c>
      <c r="E26" s="1"/>
      <c r="F26" s="1"/>
      <c r="G26" s="1"/>
      <c r="H26" s="1"/>
      <c r="I26" s="1"/>
      <c r="J26" s="1"/>
    </row>
    <row r="27" ht="15.75" customHeight="1">
      <c r="A27" s="1">
        <v>6.0</v>
      </c>
      <c r="B27" s="1">
        <v>6.0</v>
      </c>
      <c r="C27" s="1">
        <v>5.0</v>
      </c>
      <c r="D27" s="1">
        <v>4.0</v>
      </c>
      <c r="E27" s="1"/>
      <c r="F27" s="1"/>
      <c r="G27" s="1"/>
      <c r="H27" s="1"/>
      <c r="I27" s="1"/>
      <c r="J27" s="1"/>
    </row>
    <row r="28" ht="15.75" customHeight="1">
      <c r="A28" s="1">
        <v>7.0</v>
      </c>
      <c r="B28" s="1">
        <v>7.0</v>
      </c>
      <c r="C28" s="1">
        <v>6.0</v>
      </c>
      <c r="D28" s="1">
        <v>5.0</v>
      </c>
      <c r="E28" s="1"/>
      <c r="F28" s="1"/>
      <c r="G28" s="1"/>
      <c r="H28" s="1"/>
      <c r="I28" s="1"/>
      <c r="J28" s="1"/>
    </row>
    <row r="29" ht="15.75" customHeight="1">
      <c r="A29" s="1">
        <v>8.0</v>
      </c>
      <c r="B29" s="1">
        <v>8.0</v>
      </c>
      <c r="C29" s="1">
        <v>9.0</v>
      </c>
      <c r="D29" s="1">
        <v>7.0</v>
      </c>
      <c r="E29" s="1"/>
      <c r="F29" s="1"/>
      <c r="G29" s="1"/>
      <c r="H29" s="1"/>
      <c r="I29" s="1"/>
      <c r="J29" s="1"/>
    </row>
    <row r="30" ht="15.75" customHeight="1">
      <c r="A30" s="1">
        <v>9.0</v>
      </c>
      <c r="B30" s="1">
        <v>9.0</v>
      </c>
      <c r="C30" s="1">
        <v>1.0</v>
      </c>
      <c r="D30" s="1">
        <v>10.0</v>
      </c>
      <c r="E30" s="1"/>
      <c r="F30" s="1"/>
      <c r="G30" s="1"/>
      <c r="H30" s="1"/>
      <c r="I30" s="1"/>
      <c r="J30" s="1"/>
    </row>
    <row r="31" ht="15.75" customHeight="1">
      <c r="A31" s="1">
        <v>10.0</v>
      </c>
      <c r="B31" s="1">
        <v>10.0</v>
      </c>
      <c r="C31" s="1">
        <v>4.0</v>
      </c>
      <c r="D31" s="1">
        <v>8.0</v>
      </c>
      <c r="E31" s="1"/>
      <c r="F31" s="1"/>
      <c r="G31" s="1"/>
      <c r="H31" s="1"/>
      <c r="I31" s="1"/>
      <c r="J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2:J2"/>
    <mergeCell ref="A19:J1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3" width="22.0"/>
    <col customWidth="1" min="4" max="4" width="18.0"/>
    <col customWidth="1" min="5" max="5" width="28.63"/>
    <col customWidth="1" min="6" max="7" width="18.0"/>
    <col customWidth="1" min="8" max="10" width="20.0"/>
    <col customWidth="1" min="11" max="26" width="8.63"/>
  </cols>
  <sheetData>
    <row r="1" ht="24.0" customHeight="1">
      <c r="A1" s="8" t="s">
        <v>0</v>
      </c>
      <c r="B1" s="8" t="s">
        <v>51</v>
      </c>
      <c r="C1" s="8" t="s">
        <v>52</v>
      </c>
      <c r="D1" s="9"/>
      <c r="E1" s="10" t="s">
        <v>53</v>
      </c>
      <c r="F1" s="11"/>
      <c r="G1" s="11"/>
      <c r="H1" s="11"/>
      <c r="I1" s="11"/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0">
        <v>1.0</v>
      </c>
      <c r="B2" s="10">
        <v>500.0</v>
      </c>
      <c r="C2" s="10">
        <v>5.4</v>
      </c>
      <c r="D2" s="9"/>
      <c r="E2" s="10">
        <f>CORREL(B2:B10,C2:C10)</f>
        <v>-0.6551184792</v>
      </c>
      <c r="F2" s="11"/>
      <c r="G2" s="11"/>
      <c r="H2" s="11"/>
      <c r="I2" s="11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0">
        <v>2.0</v>
      </c>
      <c r="B3" s="10">
        <v>790.0</v>
      </c>
      <c r="C3" s="10">
        <v>4.2</v>
      </c>
      <c r="D3" s="9"/>
      <c r="E3" s="9"/>
      <c r="F3" s="11"/>
      <c r="G3" s="11"/>
      <c r="H3" s="11"/>
      <c r="I3" s="11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0">
        <v>3.0</v>
      </c>
      <c r="B4" s="10">
        <v>870.0</v>
      </c>
      <c r="C4" s="10">
        <v>4.0</v>
      </c>
      <c r="D4" s="9"/>
      <c r="E4" s="10" t="s">
        <v>10</v>
      </c>
      <c r="F4" s="11"/>
      <c r="G4" s="11"/>
      <c r="H4" s="11"/>
      <c r="I4" s="11"/>
      <c r="J4" s="1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0">
        <v>4.0</v>
      </c>
      <c r="B5" s="10">
        <v>1500.0</v>
      </c>
      <c r="C5" s="10">
        <v>3.4</v>
      </c>
      <c r="D5" s="9"/>
      <c r="E5" s="10" t="str">
        <f>IF(E2&lt;0,"Отрицательная линейная связь","Положительная линейная связь")</f>
        <v>Отрицательная линейная связь</v>
      </c>
      <c r="F5" s="11"/>
      <c r="G5" s="11"/>
      <c r="H5" s="11"/>
      <c r="I5" s="11"/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0">
        <v>5.0</v>
      </c>
      <c r="B6" s="10">
        <v>2300.0</v>
      </c>
      <c r="C6" s="10">
        <v>2.5</v>
      </c>
      <c r="D6" s="9"/>
      <c r="E6" s="9"/>
      <c r="F6" s="13"/>
      <c r="G6" s="11"/>
      <c r="H6" s="11"/>
      <c r="I6" s="11"/>
      <c r="J6" s="1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0">
        <v>6.0</v>
      </c>
      <c r="B7" s="10">
        <v>5600.0</v>
      </c>
      <c r="C7" s="10">
        <v>1.0</v>
      </c>
      <c r="D7" s="9"/>
      <c r="E7" s="9"/>
      <c r="F7" s="13"/>
      <c r="G7" s="11"/>
      <c r="H7" s="11"/>
      <c r="I7" s="11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">
        <v>7.0</v>
      </c>
      <c r="B8" s="10">
        <v>100.0</v>
      </c>
      <c r="C8" s="10">
        <v>6.1</v>
      </c>
      <c r="D8" s="9"/>
      <c r="E8" s="9"/>
      <c r="F8" s="13"/>
      <c r="G8" s="11"/>
      <c r="H8" s="11"/>
      <c r="I8" s="11"/>
      <c r="J8" s="1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>
        <v>8.0</v>
      </c>
      <c r="B9" s="10">
        <v>20.0</v>
      </c>
      <c r="C9" s="10">
        <v>8.2</v>
      </c>
      <c r="D9" s="9"/>
      <c r="E9" s="9"/>
      <c r="F9" s="11"/>
      <c r="G9" s="11"/>
      <c r="H9" s="11"/>
      <c r="I9" s="11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0">
        <v>9.0</v>
      </c>
      <c r="B10" s="10">
        <v>5.0</v>
      </c>
      <c r="C10" s="10">
        <v>14.6</v>
      </c>
      <c r="D10" s="9"/>
      <c r="E10" s="9"/>
      <c r="F10" s="11"/>
      <c r="G10" s="11"/>
      <c r="H10" s="11"/>
      <c r="I10" s="11"/>
      <c r="J10" s="1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8" t="s">
        <v>0</v>
      </c>
      <c r="B14" s="8" t="s">
        <v>54</v>
      </c>
      <c r="C14" s="8" t="s">
        <v>55</v>
      </c>
      <c r="D14" s="9"/>
      <c r="E14" s="10" t="s">
        <v>53</v>
      </c>
      <c r="F14" s="11"/>
      <c r="G14" s="11"/>
      <c r="H14" s="11"/>
      <c r="I14" s="11"/>
      <c r="J14" s="11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0">
        <v>1.0</v>
      </c>
      <c r="B15" s="10">
        <v>24.0</v>
      </c>
      <c r="C15" s="10">
        <v>100.0</v>
      </c>
      <c r="D15" s="9"/>
      <c r="E15" s="10">
        <f>CORREL(B15:B28,C15:C28)</f>
        <v>-0.4210924255</v>
      </c>
      <c r="F15" s="11"/>
      <c r="G15" s="11"/>
      <c r="H15" s="11"/>
      <c r="I15" s="11"/>
      <c r="J15" s="11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0">
        <v>2.0</v>
      </c>
      <c r="B16" s="10">
        <v>27.0</v>
      </c>
      <c r="C16" s="10">
        <v>115.0</v>
      </c>
      <c r="D16" s="9"/>
      <c r="E16" s="9"/>
      <c r="F16" s="11"/>
      <c r="G16" s="11"/>
      <c r="H16" s="11"/>
      <c r="I16" s="11"/>
      <c r="J16" s="11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0">
        <v>3.0</v>
      </c>
      <c r="B17" s="10">
        <v>26.0</v>
      </c>
      <c r="C17" s="10">
        <v>117.0</v>
      </c>
      <c r="D17" s="9"/>
      <c r="E17" s="10" t="s">
        <v>10</v>
      </c>
      <c r="F17" s="11"/>
      <c r="G17" s="11"/>
      <c r="H17" s="11"/>
      <c r="I17" s="11"/>
      <c r="J17" s="11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0">
        <v>4.0</v>
      </c>
      <c r="B18" s="10">
        <v>21.0</v>
      </c>
      <c r="C18" s="10">
        <v>119.0</v>
      </c>
      <c r="D18" s="9"/>
      <c r="E18" s="10" t="str">
        <f>IF(ABS(E15)&gt;=0.7,"Сильная связь",IF(ABS(E15)&gt;=0.3,"Средняя связь","Слабая связь"))</f>
        <v>Средняя связь</v>
      </c>
      <c r="F18" s="11"/>
      <c r="G18" s="11"/>
      <c r="H18" s="11"/>
      <c r="I18" s="11"/>
      <c r="J18" s="11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>
        <v>5.0</v>
      </c>
      <c r="B19" s="10">
        <v>20.0</v>
      </c>
      <c r="C19" s="10">
        <v>134.0</v>
      </c>
      <c r="D19" s="9"/>
      <c r="E19" s="9"/>
      <c r="F19" s="11"/>
      <c r="G19" s="11"/>
      <c r="H19" s="11"/>
      <c r="I19" s="11"/>
      <c r="J19" s="11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>
        <v>6.0</v>
      </c>
      <c r="B20" s="10">
        <v>31.0</v>
      </c>
      <c r="C20" s="10">
        <v>94.0</v>
      </c>
      <c r="D20" s="9"/>
      <c r="E20" s="9"/>
      <c r="F20" s="11"/>
      <c r="G20" s="11"/>
      <c r="H20" s="11"/>
      <c r="I20" s="11"/>
      <c r="J20" s="11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0">
        <v>7.0</v>
      </c>
      <c r="B21" s="10">
        <v>26.0</v>
      </c>
      <c r="C21" s="10">
        <v>105.0</v>
      </c>
      <c r="D21" s="9"/>
      <c r="E21" s="9"/>
      <c r="F21" s="11"/>
      <c r="G21" s="11"/>
      <c r="H21" s="11"/>
      <c r="I21" s="11"/>
      <c r="J21" s="11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0">
        <v>8.0</v>
      </c>
      <c r="B22" s="10">
        <v>22.0</v>
      </c>
      <c r="C22" s="10">
        <v>103.0</v>
      </c>
      <c r="D22" s="9"/>
      <c r="E22" s="9"/>
      <c r="F22" s="11"/>
      <c r="G22" s="11"/>
      <c r="H22" s="11"/>
      <c r="I22" s="11"/>
      <c r="J22" s="11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0">
        <v>9.0</v>
      </c>
      <c r="B23" s="10">
        <v>20.0</v>
      </c>
      <c r="C23" s="10">
        <v>111.0</v>
      </c>
      <c r="D23" s="9"/>
      <c r="E23" s="9"/>
      <c r="F23" s="11"/>
      <c r="G23" s="11"/>
      <c r="H23" s="11"/>
      <c r="I23" s="11"/>
      <c r="J23" s="11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0">
        <v>10.0</v>
      </c>
      <c r="B24" s="10">
        <v>18.0</v>
      </c>
      <c r="C24" s="10">
        <v>124.0</v>
      </c>
      <c r="D24" s="9"/>
      <c r="E24" s="9"/>
      <c r="F24" s="11"/>
      <c r="G24" s="11"/>
      <c r="H24" s="11"/>
      <c r="I24" s="11"/>
      <c r="J24" s="11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0">
        <v>11.0</v>
      </c>
      <c r="B25" s="10">
        <v>30.0</v>
      </c>
      <c r="C25" s="10">
        <v>122.0</v>
      </c>
      <c r="D25" s="9"/>
      <c r="E25" s="9"/>
      <c r="F25" s="11"/>
      <c r="G25" s="11"/>
      <c r="H25" s="11"/>
      <c r="I25" s="11"/>
      <c r="J25" s="11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0">
        <v>12.0</v>
      </c>
      <c r="B26" s="10">
        <v>29.0</v>
      </c>
      <c r="C26" s="10">
        <v>109.0</v>
      </c>
      <c r="D26" s="9"/>
      <c r="E26" s="9"/>
      <c r="F26" s="13"/>
      <c r="G26" s="11"/>
      <c r="H26" s="11"/>
      <c r="I26" s="11"/>
      <c r="J26" s="11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0">
        <v>13.0</v>
      </c>
      <c r="B27" s="10">
        <v>24.0</v>
      </c>
      <c r="C27" s="10">
        <v>110.0</v>
      </c>
      <c r="D27" s="9"/>
      <c r="E27" s="9"/>
      <c r="F27" s="13"/>
      <c r="G27" s="11"/>
      <c r="H27" s="11"/>
      <c r="I27" s="11"/>
      <c r="J27" s="11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0">
        <v>14.0</v>
      </c>
      <c r="B28" s="10">
        <v>26.0</v>
      </c>
      <c r="C28" s="10">
        <v>86.0</v>
      </c>
      <c r="D28" s="9"/>
      <c r="E28" s="9"/>
      <c r="F28" s="13"/>
      <c r="G28" s="11"/>
      <c r="H28" s="11"/>
      <c r="I28" s="11"/>
      <c r="J28" s="11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5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</sheetData>
  <printOptions/>
  <pageMargins bottom="0.75" footer="0.0" header="0.0" left="0.7" right="0.7" top="0.75"/>
  <pageSetup orientation="landscape"/>
  <drawing r:id="rId1"/>
</worksheet>
</file>