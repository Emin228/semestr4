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асть 3.1" sheetId="1" r:id="rId5"/>
    <sheet state="visible" name="Часть 3.2" sheetId="2" r:id="rId6"/>
  </sheets>
  <definedNames/>
  <calcPr/>
</workbook>
</file>

<file path=xl/sharedStrings.xml><?xml version="1.0" encoding="utf-8"?>
<sst xmlns="http://schemas.openxmlformats.org/spreadsheetml/2006/main" count="123" uniqueCount="88">
  <si>
    <t>Гипотезы:</t>
  </si>
  <si>
    <t>H₀: Корреляция между упорядоченными перечнями страхов в американской и отечественной выборках не отличается от нуля.</t>
  </si>
  <si>
    <t>H₁: Корреляция между упорядоченными перечнями страхов в американской и отечественной выборках статистически значимо отличается от нуля.</t>
  </si>
  <si>
    <t>Таблица 1. Ранговые показатели страхов</t>
  </si>
  <si>
    <t>№</t>
  </si>
  <si>
    <t>Вид страха</t>
  </si>
  <si>
    <t>Ранг в американской выборке</t>
  </si>
  <si>
    <t>Ранг в российской выборке</t>
  </si>
  <si>
    <t>d</t>
  </si>
  <si>
    <t>d²</t>
  </si>
  <si>
    <t>Страх публичного выступления</t>
  </si>
  <si>
    <t>Страх полета</t>
  </si>
  <si>
    <t>Страх совершить ошибку</t>
  </si>
  <si>
    <t>Страх неудачи</t>
  </si>
  <si>
    <t>Страх неодобрения</t>
  </si>
  <si>
    <t>Страх отвержения</t>
  </si>
  <si>
    <t>Страх злых людей</t>
  </si>
  <si>
    <t>Страх одиночества</t>
  </si>
  <si>
    <t>Страх крови</t>
  </si>
  <si>
    <t>Страх открытых ран</t>
  </si>
  <si>
    <t>Страх дантиста</t>
  </si>
  <si>
    <t>Страх уколов</t>
  </si>
  <si>
    <t>Страх прохождения тестов</t>
  </si>
  <si>
    <t>Страх полиции</t>
  </si>
  <si>
    <t>Страх высоты</t>
  </si>
  <si>
    <t>Страх собак</t>
  </si>
  <si>
    <t>Страх пауков</t>
  </si>
  <si>
    <t>Страх искалеченных людей</t>
  </si>
  <si>
    <t>Страх больниц</t>
  </si>
  <si>
    <t>Страх темноты</t>
  </si>
  <si>
    <t>Суммы</t>
  </si>
  <si>
    <t>Задание 2. Вычисление коэффициента ранговой корреляции Спирмена</t>
  </si>
  <si>
    <t>Формула: rs = 1 - 6·Σ(d²) / [n·(n²-1)]</t>
  </si>
  <si>
    <t>n (количество страхов)</t>
  </si>
  <si>
    <t>Σ(d²)</t>
  </si>
  <si>
    <t>rs (эмпирическое значение)</t>
  </si>
  <si>
    <t>Задание 3. Критические значения rs при n = 20</t>
  </si>
  <si>
    <t>Уровень значимости</t>
  </si>
  <si>
    <t>rs крит</t>
  </si>
  <si>
    <t>p = 0.05</t>
  </si>
  <si>
    <t>p = 0.01</t>
  </si>
  <si>
    <t>Задание 4. Вывод о принятии гипотезы</t>
  </si>
  <si>
    <t>Сравнение |rs| с rs крит (0.05)</t>
  </si>
  <si>
    <t>Сравнение |rs| с rs крит (0.01)</t>
  </si>
  <si>
    <t>Принимаемая гипотеза</t>
  </si>
  <si>
    <t>Таблица 3. Усредненные эталонные оценки избирателей (n=77) и индивидуальные показатели депутата К-ва</t>
  </si>
  <si>
    <t>Наименование качества</t>
  </si>
  <si>
    <t>Усредненные эталонные оценки избирателей</t>
  </si>
  <si>
    <t>Индивидуальные показатели депутата К-ва</t>
  </si>
  <si>
    <t>Общий уровень культуры</t>
  </si>
  <si>
    <t>Обучаемость</t>
  </si>
  <si>
    <t>Логика</t>
  </si>
  <si>
    <t>Способность к творчеству нового</t>
  </si>
  <si>
    <t>Самокритичность</t>
  </si>
  <si>
    <t>Ответственность</t>
  </si>
  <si>
    <t>Самостоятельность</t>
  </si>
  <si>
    <t>Энергия, активность</t>
  </si>
  <si>
    <t>Целеустремленность</t>
  </si>
  <si>
    <t>Выдержка, самообладание</t>
  </si>
  <si>
    <t>Стойкость</t>
  </si>
  <si>
    <t>Личностная зрелость</t>
  </si>
  <si>
    <t>Порядочность</t>
  </si>
  <si>
    <t>Гуманизм</t>
  </si>
  <si>
    <t>Умение общаться с людьми</t>
  </si>
  <si>
    <t>Терпимость к чужому мнению</t>
  </si>
  <si>
    <t>Гибкость поведения</t>
  </si>
  <si>
    <t>Способность производить благоприятное впечатление</t>
  </si>
  <si>
    <t>Таблица 4. Результаты ранжирования (качества в порядке эталонного профиля)</t>
  </si>
  <si>
    <t>Ряд 1: ранг в эталонном профиле</t>
  </si>
  <si>
    <t>Ряд 2: ранг в индивидуальном профиле</t>
  </si>
  <si>
    <t>Поправки на одинаковые ранги (Ta и Tb)</t>
  </si>
  <si>
    <t>Формула: T = Σ(a³ - a) / 12, где a - объём каждой группы одинаковых рангов</t>
  </si>
  <si>
    <t>Ряд A (эталонный): одна группа одинаковых рангов</t>
  </si>
  <si>
    <t>a₁ =</t>
  </si>
  <si>
    <t>Ta</t>
  </si>
  <si>
    <t>Ta =</t>
  </si>
  <si>
    <t>Ряд B (индивидуальный): две группы одинаковых рангов</t>
  </si>
  <si>
    <t>b₁ =</t>
  </si>
  <si>
    <t>b₂ =</t>
  </si>
  <si>
    <t>Tb</t>
  </si>
  <si>
    <t>Tb =</t>
  </si>
  <si>
    <t>Формула: rs = 1 - 6·[Σ(d²) + Ta + Tb] / [n·(n²-1)]</t>
  </si>
  <si>
    <t>n (количество качеств)</t>
  </si>
  <si>
    <t>rs (с поправкой на одинаковые ранги)</t>
  </si>
  <si>
    <t>rs (без поправки) — для сравнения</t>
  </si>
  <si>
    <t>r Пирсона по ранговым рядам</t>
  </si>
  <si>
    <t>Задание 3. Критические значения rs при n = 18</t>
  </si>
  <si>
    <t>Вывод о принятии гипотезы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</si>
</sst>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4">
    <font>
      <sz val="11.0"/>
      <color theme="1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9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</border>
    <border>
      <right style="thin">
        <color rgb="FFBFBFBF"/>
      </right>
    </border>
    <border>
      <left style="thin">
        <color rgb="FFBFBFBF"/>
      </left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bottom style="thin">
        <color rgb="FFBFBFBF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2" fontId="2" numFmtId="0" xfId="0" applyAlignment="1" applyFont="1">
      <alignment shrinkToFit="0" vertical="top" wrapText="1"/>
    </xf>
    <xf borderId="1" fillId="2" fontId="2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shrinkToFit="0" vertical="top" wrapText="1"/>
    </xf>
    <xf borderId="5" fillId="2" fontId="1" numFmtId="0" xfId="0" applyAlignment="1" applyBorder="1" applyFont="1">
      <alignment shrinkToFit="0" vertical="top" wrapText="1"/>
    </xf>
    <xf borderId="1" fillId="2" fontId="2" numFmtId="0" xfId="0" applyAlignment="1" applyBorder="1" applyFont="1">
      <alignment shrinkToFit="0" vertical="top" wrapText="1"/>
    </xf>
    <xf borderId="2" fillId="0" fontId="3" numFmtId="0" xfId="0" applyBorder="1" applyFont="1"/>
    <xf borderId="2" fillId="2" fontId="2" numFmtId="0" xfId="0" applyAlignment="1" applyBorder="1" applyFont="1">
      <alignment shrinkToFit="0" vertical="top" wrapText="1"/>
    </xf>
    <xf borderId="3" fillId="2" fontId="2" numFmtId="0" xfId="0" applyAlignment="1" applyBorder="1" applyFont="1">
      <alignment shrinkToFit="0" vertical="top" wrapText="1"/>
    </xf>
    <xf borderId="1" fillId="2" fontId="2" numFmtId="0" xfId="0" applyAlignment="1" applyBorder="1" applyFont="1">
      <alignment horizontal="center" shrinkToFit="0" vertical="top" wrapText="1"/>
    </xf>
    <xf borderId="3" fillId="2" fontId="2" numFmtId="0" xfId="0" applyAlignment="1" applyBorder="1" applyFont="1">
      <alignment horizontal="center" shrinkToFit="0" vertical="top" wrapText="1"/>
    </xf>
    <xf borderId="6" fillId="2" fontId="1" numFmtId="0" xfId="0" applyAlignment="1" applyBorder="1" applyFont="1">
      <alignment shrinkToFit="0" vertical="top" wrapText="1"/>
    </xf>
    <xf borderId="7" fillId="2" fontId="1" numFmtId="0" xfId="0" applyAlignment="1" applyBorder="1" applyFont="1">
      <alignment shrinkToFit="0" vertical="top" wrapText="1"/>
    </xf>
    <xf borderId="3" fillId="0" fontId="3" numFmtId="0" xfId="0" applyBorder="1" applyFont="1"/>
    <xf borderId="5" fillId="0" fontId="3" numFmtId="0" xfId="0" applyBorder="1" applyFont="1"/>
    <xf borderId="8" fillId="2" fontId="1" numFmtId="0" xfId="0" applyAlignment="1" applyBorder="1" applyFont="1">
      <alignment shrinkToFit="0" vertical="top" wrapText="1"/>
    </xf>
    <xf borderId="8" fillId="0" fontId="3" numFmtId="0" xfId="0" applyBorder="1" applyFont="1"/>
    <xf borderId="7" fillId="0" fontId="3" numFmtId="0" xfId="0" applyBorder="1" applyFont="1"/>
    <xf borderId="0" fillId="2" fontId="1" numFmtId="1" xfId="0" applyAlignment="1" applyFont="1" applyNumberFormat="1">
      <alignment shrinkToFit="0" vertical="top" wrapText="1"/>
    </xf>
    <xf borderId="0" fillId="2" fontId="1" numFmtId="164" xfId="0" applyAlignment="1" applyFont="1" applyNumberForma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Корреляционное поле (Часть 3.1)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Страхи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98B855"/>
              </a:solidFill>
              <a:ln cmpd="sng">
                <a:solidFill>
                  <a:srgbClr val="98B855"/>
                </a:solidFill>
              </a:ln>
            </c:spPr>
          </c:marker>
          <c:xVal>
            <c:numRef>
              <c:f>'Часть 3.1'!$C$8:$C$27</c:f>
            </c:numRef>
          </c:xVal>
          <c:yVal>
            <c:numRef>
              <c:f>'Часть 3.1'!$D$8:$D$27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3860881"/>
        <c:axId val="23832414"/>
      </c:scatterChart>
      <c:valAx>
        <c:axId val="212386088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3832414"/>
      </c:valAx>
      <c:valAx>
        <c:axId val="238324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123860881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Корреляционное поле (Часть 3.2)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Качества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98B855"/>
              </a:solidFill>
              <a:ln cmpd="sng">
                <a:solidFill>
                  <a:srgbClr val="98B855"/>
                </a:solidFill>
              </a:ln>
            </c:spPr>
          </c:marker>
          <c:xVal>
            <c:numRef>
              <c:f>'Часть 3.2'!$C$26:$C$43</c:f>
            </c:numRef>
          </c:xVal>
          <c:yVal>
            <c:numRef>
              <c:f>'Часть 3.2'!$D$26:$D$43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8297830"/>
        <c:axId val="1639482369"/>
      </c:scatterChart>
      <c:valAx>
        <c:axId val="80829783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39482369"/>
      </c:valAx>
      <c:valAx>
        <c:axId val="16394823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08297830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0</xdr:row>
      <xdr:rowOff>152400</xdr:rowOff>
    </xdr:from>
    <xdr:ext cx="5476875" cy="51625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0</xdr:row>
      <xdr:rowOff>200025</xdr:rowOff>
    </xdr:from>
    <xdr:ext cx="5476875" cy="49244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38.0"/>
    <col customWidth="1" min="3" max="4" width="22.0"/>
    <col customWidth="1" min="5" max="6" width="10.0"/>
    <col customWidth="1" min="7" max="26" width="8.71"/>
  </cols>
  <sheetData>
    <row r="1" ht="18.0" customHeight="1">
      <c r="A1" s="1"/>
      <c r="B1" s="1"/>
      <c r="C1" s="1"/>
      <c r="D1" s="1"/>
      <c r="E1" s="1"/>
      <c r="F1" s="1"/>
    </row>
    <row r="2" ht="18.0" customHeight="1">
      <c r="A2" s="1" t="s">
        <v>0</v>
      </c>
    </row>
    <row r="3" ht="36.0" customHeight="1">
      <c r="A3" s="1" t="s">
        <v>1</v>
      </c>
    </row>
    <row r="4" ht="36.0" customHeight="1">
      <c r="A4" s="1" t="s">
        <v>2</v>
      </c>
    </row>
    <row r="5" ht="18.0" customHeight="1">
      <c r="A5" s="1"/>
      <c r="B5" s="1"/>
      <c r="C5" s="1"/>
      <c r="D5" s="1"/>
      <c r="E5" s="1"/>
      <c r="F5" s="1"/>
    </row>
    <row r="6" ht="18.0" customHeight="1">
      <c r="A6" s="2" t="s">
        <v>3</v>
      </c>
    </row>
    <row r="7" ht="36.0" customHeight="1">
      <c r="A7" s="3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5" t="s">
        <v>9</v>
      </c>
    </row>
    <row r="8" ht="18.0" customHeight="1">
      <c r="A8" s="6">
        <v>1.0</v>
      </c>
      <c r="B8" s="1" t="s">
        <v>10</v>
      </c>
      <c r="C8" s="1">
        <v>1.0</v>
      </c>
      <c r="D8" s="1">
        <v>7.0</v>
      </c>
      <c r="E8" s="1">
        <f t="shared" ref="E8:E27" si="1">C8-D8</f>
        <v>-6</v>
      </c>
      <c r="F8" s="7">
        <f t="shared" ref="F8:F27" si="2">E8^2</f>
        <v>36</v>
      </c>
    </row>
    <row r="9" ht="18.0" customHeight="1">
      <c r="A9" s="6">
        <v>2.0</v>
      </c>
      <c r="B9" s="1" t="s">
        <v>11</v>
      </c>
      <c r="C9" s="1">
        <v>2.0</v>
      </c>
      <c r="D9" s="1">
        <v>12.0</v>
      </c>
      <c r="E9" s="1">
        <f t="shared" si="1"/>
        <v>-10</v>
      </c>
      <c r="F9" s="7">
        <f t="shared" si="2"/>
        <v>100</v>
      </c>
    </row>
    <row r="10" ht="18.0" customHeight="1">
      <c r="A10" s="6">
        <v>3.0</v>
      </c>
      <c r="B10" s="1" t="s">
        <v>12</v>
      </c>
      <c r="C10" s="1">
        <v>3.0</v>
      </c>
      <c r="D10" s="1">
        <v>10.0</v>
      </c>
      <c r="E10" s="1">
        <f t="shared" si="1"/>
        <v>-7</v>
      </c>
      <c r="F10" s="7">
        <f t="shared" si="2"/>
        <v>49</v>
      </c>
    </row>
    <row r="11" ht="18.0" customHeight="1">
      <c r="A11" s="6">
        <v>4.0</v>
      </c>
      <c r="B11" s="1" t="s">
        <v>13</v>
      </c>
      <c r="C11" s="1">
        <v>4.0</v>
      </c>
      <c r="D11" s="1">
        <v>6.0</v>
      </c>
      <c r="E11" s="1">
        <f t="shared" si="1"/>
        <v>-2</v>
      </c>
      <c r="F11" s="7">
        <f t="shared" si="2"/>
        <v>4</v>
      </c>
    </row>
    <row r="12" ht="18.0" customHeight="1">
      <c r="A12" s="6">
        <v>5.0</v>
      </c>
      <c r="B12" s="1" t="s">
        <v>14</v>
      </c>
      <c r="C12" s="1">
        <v>5.0</v>
      </c>
      <c r="D12" s="1">
        <v>9.0</v>
      </c>
      <c r="E12" s="1">
        <f t="shared" si="1"/>
        <v>-4</v>
      </c>
      <c r="F12" s="7">
        <f t="shared" si="2"/>
        <v>16</v>
      </c>
    </row>
    <row r="13" ht="18.0" customHeight="1">
      <c r="A13" s="6">
        <v>6.0</v>
      </c>
      <c r="B13" s="1" t="s">
        <v>15</v>
      </c>
      <c r="C13" s="1">
        <v>6.0</v>
      </c>
      <c r="D13" s="1">
        <v>2.0</v>
      </c>
      <c r="E13" s="1">
        <f t="shared" si="1"/>
        <v>4</v>
      </c>
      <c r="F13" s="7">
        <f t="shared" si="2"/>
        <v>16</v>
      </c>
    </row>
    <row r="14" ht="18.0" customHeight="1">
      <c r="A14" s="6">
        <v>7.0</v>
      </c>
      <c r="B14" s="1" t="s">
        <v>16</v>
      </c>
      <c r="C14" s="1">
        <v>7.0</v>
      </c>
      <c r="D14" s="1">
        <v>5.0</v>
      </c>
      <c r="E14" s="1">
        <f t="shared" si="1"/>
        <v>2</v>
      </c>
      <c r="F14" s="7">
        <f t="shared" si="2"/>
        <v>4</v>
      </c>
    </row>
    <row r="15" ht="18.0" customHeight="1">
      <c r="A15" s="6">
        <v>8.0</v>
      </c>
      <c r="B15" s="1" t="s">
        <v>17</v>
      </c>
      <c r="C15" s="1">
        <v>8.0</v>
      </c>
      <c r="D15" s="1">
        <v>1.0</v>
      </c>
      <c r="E15" s="1">
        <f t="shared" si="1"/>
        <v>7</v>
      </c>
      <c r="F15" s="7">
        <f t="shared" si="2"/>
        <v>49</v>
      </c>
    </row>
    <row r="16" ht="18.0" customHeight="1">
      <c r="A16" s="6">
        <v>9.0</v>
      </c>
      <c r="B16" s="1" t="s">
        <v>18</v>
      </c>
      <c r="C16" s="1">
        <v>9.0</v>
      </c>
      <c r="D16" s="1">
        <v>16.0</v>
      </c>
      <c r="E16" s="1">
        <f t="shared" si="1"/>
        <v>-7</v>
      </c>
      <c r="F16" s="7">
        <f t="shared" si="2"/>
        <v>49</v>
      </c>
    </row>
    <row r="17" ht="18.0" customHeight="1">
      <c r="A17" s="6">
        <v>10.0</v>
      </c>
      <c r="B17" s="1" t="s">
        <v>19</v>
      </c>
      <c r="C17" s="1">
        <v>10.0</v>
      </c>
      <c r="D17" s="1">
        <v>13.0</v>
      </c>
      <c r="E17" s="1">
        <f t="shared" si="1"/>
        <v>-3</v>
      </c>
      <c r="F17" s="7">
        <f t="shared" si="2"/>
        <v>9</v>
      </c>
    </row>
    <row r="18" ht="18.0" customHeight="1">
      <c r="A18" s="6">
        <v>11.0</v>
      </c>
      <c r="B18" s="1" t="s">
        <v>20</v>
      </c>
      <c r="C18" s="1">
        <v>11.0</v>
      </c>
      <c r="D18" s="1">
        <v>3.0</v>
      </c>
      <c r="E18" s="1">
        <f t="shared" si="1"/>
        <v>8</v>
      </c>
      <c r="F18" s="7">
        <f t="shared" si="2"/>
        <v>64</v>
      </c>
    </row>
    <row r="19" ht="18.0" customHeight="1">
      <c r="A19" s="6">
        <v>12.0</v>
      </c>
      <c r="B19" s="1" t="s">
        <v>21</v>
      </c>
      <c r="C19" s="1">
        <v>12.0</v>
      </c>
      <c r="D19" s="1">
        <v>19.0</v>
      </c>
      <c r="E19" s="1">
        <f t="shared" si="1"/>
        <v>-7</v>
      </c>
      <c r="F19" s="7">
        <f t="shared" si="2"/>
        <v>49</v>
      </c>
    </row>
    <row r="20" ht="18.0" customHeight="1">
      <c r="A20" s="6">
        <v>13.0</v>
      </c>
      <c r="B20" s="1" t="s">
        <v>22</v>
      </c>
      <c r="C20" s="1">
        <v>13.0</v>
      </c>
      <c r="D20" s="1">
        <v>20.0</v>
      </c>
      <c r="E20" s="1">
        <f t="shared" si="1"/>
        <v>-7</v>
      </c>
      <c r="F20" s="7">
        <f t="shared" si="2"/>
        <v>49</v>
      </c>
    </row>
    <row r="21" ht="18.0" customHeight="1">
      <c r="A21" s="6">
        <v>14.0</v>
      </c>
      <c r="B21" s="1" t="s">
        <v>23</v>
      </c>
      <c r="C21" s="1">
        <v>14.0</v>
      </c>
      <c r="D21" s="1">
        <v>17.0</v>
      </c>
      <c r="E21" s="1">
        <f t="shared" si="1"/>
        <v>-3</v>
      </c>
      <c r="F21" s="7">
        <f t="shared" si="2"/>
        <v>9</v>
      </c>
    </row>
    <row r="22" ht="18.0" customHeight="1">
      <c r="A22" s="6">
        <v>15.0</v>
      </c>
      <c r="B22" s="1" t="s">
        <v>24</v>
      </c>
      <c r="C22" s="1">
        <v>15.0</v>
      </c>
      <c r="D22" s="1">
        <v>4.0</v>
      </c>
      <c r="E22" s="1">
        <f t="shared" si="1"/>
        <v>11</v>
      </c>
      <c r="F22" s="7">
        <f t="shared" si="2"/>
        <v>121</v>
      </c>
    </row>
    <row r="23" ht="18.0" customHeight="1">
      <c r="A23" s="6">
        <v>16.0</v>
      </c>
      <c r="B23" s="1" t="s">
        <v>25</v>
      </c>
      <c r="C23" s="1">
        <v>16.0</v>
      </c>
      <c r="D23" s="1">
        <v>11.0</v>
      </c>
      <c r="E23" s="1">
        <f t="shared" si="1"/>
        <v>5</v>
      </c>
      <c r="F23" s="7">
        <f t="shared" si="2"/>
        <v>25</v>
      </c>
    </row>
    <row r="24" ht="18.0" customHeight="1">
      <c r="A24" s="6">
        <v>17.0</v>
      </c>
      <c r="B24" s="1" t="s">
        <v>26</v>
      </c>
      <c r="C24" s="1">
        <v>17.0</v>
      </c>
      <c r="D24" s="1">
        <v>18.0</v>
      </c>
      <c r="E24" s="1">
        <f t="shared" si="1"/>
        <v>-1</v>
      </c>
      <c r="F24" s="7">
        <f t="shared" si="2"/>
        <v>1</v>
      </c>
    </row>
    <row r="25" ht="18.0" customHeight="1">
      <c r="A25" s="6">
        <v>18.0</v>
      </c>
      <c r="B25" s="1" t="s">
        <v>27</v>
      </c>
      <c r="C25" s="1">
        <v>18.0</v>
      </c>
      <c r="D25" s="1">
        <v>8.0</v>
      </c>
      <c r="E25" s="1">
        <f t="shared" si="1"/>
        <v>10</v>
      </c>
      <c r="F25" s="7">
        <f t="shared" si="2"/>
        <v>100</v>
      </c>
    </row>
    <row r="26" ht="18.0" customHeight="1">
      <c r="A26" s="6">
        <v>19.0</v>
      </c>
      <c r="B26" s="1" t="s">
        <v>28</v>
      </c>
      <c r="C26" s="1">
        <v>18.0</v>
      </c>
      <c r="D26" s="1">
        <v>15.0</v>
      </c>
      <c r="E26" s="1">
        <f t="shared" si="1"/>
        <v>3</v>
      </c>
      <c r="F26" s="7">
        <f t="shared" si="2"/>
        <v>9</v>
      </c>
    </row>
    <row r="27" ht="18.0" customHeight="1">
      <c r="A27" s="6">
        <v>20.0</v>
      </c>
      <c r="B27" s="1" t="s">
        <v>29</v>
      </c>
      <c r="C27" s="1">
        <v>20.0</v>
      </c>
      <c r="D27" s="1">
        <v>14.0</v>
      </c>
      <c r="E27" s="1">
        <f t="shared" si="1"/>
        <v>6</v>
      </c>
      <c r="F27" s="7">
        <f t="shared" si="2"/>
        <v>36</v>
      </c>
    </row>
    <row r="28" ht="18.0" customHeight="1">
      <c r="A28" s="8" t="s">
        <v>30</v>
      </c>
      <c r="B28" s="9"/>
      <c r="C28" s="9"/>
      <c r="D28" s="9"/>
      <c r="E28" s="10">
        <f t="shared" ref="E28:F28" si="3">SUM(E8:E27)</f>
        <v>-1</v>
      </c>
      <c r="F28" s="11">
        <f t="shared" si="3"/>
        <v>795</v>
      </c>
    </row>
    <row r="29" ht="31.5" customHeight="1">
      <c r="A29" s="1"/>
      <c r="B29" s="1"/>
      <c r="C29" s="1"/>
      <c r="D29" s="1"/>
      <c r="E29" s="1"/>
      <c r="F29" s="1"/>
    </row>
    <row r="30" ht="18.0" customHeight="1">
      <c r="A30" s="2" t="s">
        <v>31</v>
      </c>
    </row>
    <row r="31" ht="18.0" customHeight="1">
      <c r="A31" s="1" t="s">
        <v>32</v>
      </c>
    </row>
    <row r="32" ht="18.0" customHeight="1">
      <c r="A32" s="1"/>
      <c r="B32" s="1"/>
      <c r="C32" s="1"/>
      <c r="D32" s="1"/>
      <c r="E32" s="1"/>
      <c r="F32" s="1"/>
    </row>
    <row r="33" ht="18.0" customHeight="1">
      <c r="A33" s="1" t="s">
        <v>33</v>
      </c>
      <c r="C33" s="1">
        <f>COUNTA(B8:B27)</f>
        <v>20</v>
      </c>
      <c r="D33" s="1"/>
      <c r="E33" s="1"/>
      <c r="F33" s="1"/>
    </row>
    <row r="34" ht="18.0" customHeight="1">
      <c r="A34" s="1" t="s">
        <v>34</v>
      </c>
      <c r="C34" s="1">
        <f>F28</f>
        <v>795</v>
      </c>
      <c r="D34" s="1"/>
      <c r="E34" s="1"/>
      <c r="F34" s="1"/>
    </row>
    <row r="35" ht="18.0" customHeight="1">
      <c r="A35" s="1" t="s">
        <v>35</v>
      </c>
      <c r="C35" s="1">
        <f>1-(6*C34)/(C33*(C33^2-1))</f>
        <v>0.4022556391</v>
      </c>
      <c r="D35" s="1"/>
      <c r="E35" s="1"/>
      <c r="F35" s="1"/>
    </row>
    <row r="36" ht="18.0" customHeight="1">
      <c r="A36" s="1"/>
      <c r="B36" s="1"/>
      <c r="C36" s="1"/>
      <c r="D36" s="1"/>
      <c r="E36" s="1"/>
      <c r="F36" s="1"/>
    </row>
    <row r="37" ht="18.0" customHeight="1">
      <c r="A37" s="2" t="s">
        <v>36</v>
      </c>
    </row>
    <row r="38" ht="18.0" customHeight="1">
      <c r="A38" s="12" t="s">
        <v>37</v>
      </c>
      <c r="B38" s="13" t="s">
        <v>38</v>
      </c>
      <c r="C38" s="1"/>
      <c r="D38" s="1"/>
      <c r="E38" s="1"/>
      <c r="F38" s="1"/>
    </row>
    <row r="39" ht="18.0" customHeight="1">
      <c r="A39" s="6" t="s">
        <v>39</v>
      </c>
      <c r="B39" s="7">
        <v>0.45</v>
      </c>
      <c r="C39" s="1"/>
      <c r="D39" s="1"/>
      <c r="E39" s="1"/>
      <c r="F39" s="1"/>
    </row>
    <row r="40" ht="18.0" customHeight="1">
      <c r="A40" s="14" t="s">
        <v>40</v>
      </c>
      <c r="B40" s="15">
        <v>0.57</v>
      </c>
      <c r="C40" s="1"/>
      <c r="D40" s="1"/>
      <c r="E40" s="1"/>
      <c r="F40" s="1"/>
    </row>
    <row r="41" ht="18.0" customHeight="1">
      <c r="A41" s="1"/>
      <c r="B41" s="1"/>
      <c r="C41" s="1"/>
      <c r="D41" s="1"/>
      <c r="E41" s="1"/>
      <c r="F41" s="1"/>
    </row>
    <row r="42" ht="18.0" customHeight="1">
      <c r="A42" s="2" t="s">
        <v>41</v>
      </c>
    </row>
    <row r="43" ht="18.0" customHeight="1">
      <c r="A43" s="1" t="s">
        <v>42</v>
      </c>
      <c r="C43" s="1" t="str">
        <f>IF(ABS(C35)&gt;=B39,"|rs| &gt;= rs крит (0.05)","|rs| &lt; rs крит (0.05)")</f>
        <v>|rs| &lt; rs крит (0.05)</v>
      </c>
    </row>
    <row r="44" ht="18.0" customHeight="1">
      <c r="A44" s="1" t="s">
        <v>43</v>
      </c>
      <c r="C44" s="1" t="str">
        <f>IF(ABS(C35)&gt;=B40,"|rs| &gt;= rs крит (0.01)","|rs| &lt; rs крит (0.01)")</f>
        <v>|rs| &lt; rs крит (0.01)</v>
      </c>
    </row>
    <row r="45" ht="24.0" customHeight="1">
      <c r="A45" s="1" t="s">
        <v>44</v>
      </c>
      <c r="C45" s="1" t="str">
        <f>IF(ABS(C35)&gt;=B39,"Принимается H₁ (корреляция значима)","Принимается H₀ (корреляция не значима)")</f>
        <v>Принимается H₀ (корреляция не значима)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8">
    <mergeCell ref="A2:F2"/>
    <mergeCell ref="A3:F3"/>
    <mergeCell ref="A4:F4"/>
    <mergeCell ref="A6:F6"/>
    <mergeCell ref="A28:D28"/>
    <mergeCell ref="A30:F30"/>
    <mergeCell ref="A31:F31"/>
    <mergeCell ref="A44:B44"/>
    <mergeCell ref="C44:F44"/>
    <mergeCell ref="A45:B45"/>
    <mergeCell ref="C45:F45"/>
    <mergeCell ref="A33:B33"/>
    <mergeCell ref="A34:B34"/>
    <mergeCell ref="A35:B35"/>
    <mergeCell ref="A37:F37"/>
    <mergeCell ref="A42:F42"/>
    <mergeCell ref="A43:B43"/>
    <mergeCell ref="C43:F4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38.0"/>
    <col customWidth="1" min="3" max="4" width="22.0"/>
    <col customWidth="1" min="5" max="6" width="10.0"/>
    <col customWidth="1" min="7" max="26" width="8.71"/>
  </cols>
  <sheetData>
    <row r="1" ht="18.0" customHeight="1">
      <c r="A1" s="1"/>
      <c r="B1" s="1"/>
      <c r="C1" s="1"/>
      <c r="D1" s="1"/>
      <c r="E1" s="1"/>
      <c r="F1" s="1"/>
    </row>
    <row r="2" ht="18.0" customHeight="1">
      <c r="A2" s="2" t="s">
        <v>45</v>
      </c>
    </row>
    <row r="3" ht="36.0" customHeight="1">
      <c r="A3" s="3" t="s">
        <v>4</v>
      </c>
      <c r="B3" s="4" t="s">
        <v>46</v>
      </c>
      <c r="C3" s="4" t="s">
        <v>47</v>
      </c>
      <c r="D3" s="4" t="s">
        <v>48</v>
      </c>
      <c r="E3" s="9"/>
      <c r="F3" s="16"/>
    </row>
    <row r="4" ht="18.0" customHeight="1">
      <c r="A4" s="6">
        <v>1.0</v>
      </c>
      <c r="B4" s="1" t="s">
        <v>49</v>
      </c>
      <c r="C4" s="1">
        <v>8.64</v>
      </c>
      <c r="D4" s="1">
        <v>15.0</v>
      </c>
      <c r="F4" s="17"/>
    </row>
    <row r="5" ht="18.0" customHeight="1">
      <c r="A5" s="6">
        <v>2.0</v>
      </c>
      <c r="B5" s="1" t="s">
        <v>50</v>
      </c>
      <c r="C5" s="1">
        <v>7.89</v>
      </c>
      <c r="D5" s="1">
        <v>7.0</v>
      </c>
      <c r="F5" s="17"/>
    </row>
    <row r="6" ht="18.0" customHeight="1">
      <c r="A6" s="6">
        <v>3.0</v>
      </c>
      <c r="B6" s="1" t="s">
        <v>51</v>
      </c>
      <c r="C6" s="1">
        <v>8.38</v>
      </c>
      <c r="D6" s="1">
        <v>12.0</v>
      </c>
      <c r="F6" s="17"/>
    </row>
    <row r="7" ht="18.0" customHeight="1">
      <c r="A7" s="6">
        <v>4.0</v>
      </c>
      <c r="B7" s="1" t="s">
        <v>52</v>
      </c>
      <c r="C7" s="1">
        <v>6.97</v>
      </c>
      <c r="D7" s="1">
        <v>5.0</v>
      </c>
      <c r="F7" s="17"/>
    </row>
    <row r="8" ht="18.0" customHeight="1">
      <c r="A8" s="6">
        <v>5.0</v>
      </c>
      <c r="B8" s="1" t="s">
        <v>53</v>
      </c>
      <c r="C8" s="1">
        <v>8.28</v>
      </c>
      <c r="D8" s="1">
        <v>14.0</v>
      </c>
      <c r="F8" s="17"/>
    </row>
    <row r="9" ht="18.0" customHeight="1">
      <c r="A9" s="6">
        <v>6.0</v>
      </c>
      <c r="B9" s="1" t="s">
        <v>54</v>
      </c>
      <c r="C9" s="1">
        <v>9.56</v>
      </c>
      <c r="D9" s="1">
        <v>18.0</v>
      </c>
      <c r="F9" s="17"/>
    </row>
    <row r="10" ht="18.0" customHeight="1">
      <c r="A10" s="6">
        <v>7.0</v>
      </c>
      <c r="B10" s="1" t="s">
        <v>55</v>
      </c>
      <c r="C10" s="1">
        <v>8.12</v>
      </c>
      <c r="D10" s="1">
        <v>13.0</v>
      </c>
      <c r="F10" s="17"/>
    </row>
    <row r="11" ht="18.0" customHeight="1">
      <c r="A11" s="6">
        <v>8.0</v>
      </c>
      <c r="B11" s="1" t="s">
        <v>56</v>
      </c>
      <c r="C11" s="1">
        <v>8.41</v>
      </c>
      <c r="D11" s="1">
        <v>17.0</v>
      </c>
      <c r="F11" s="17"/>
    </row>
    <row r="12" ht="18.0" customHeight="1">
      <c r="A12" s="6">
        <v>9.0</v>
      </c>
      <c r="B12" s="1" t="s">
        <v>57</v>
      </c>
      <c r="C12" s="1">
        <v>8.0</v>
      </c>
      <c r="D12" s="1">
        <v>19.0</v>
      </c>
      <c r="F12" s="17"/>
    </row>
    <row r="13" ht="18.0" customHeight="1">
      <c r="A13" s="6">
        <v>10.0</v>
      </c>
      <c r="B13" s="1" t="s">
        <v>58</v>
      </c>
      <c r="C13" s="1">
        <v>8.71</v>
      </c>
      <c r="D13" s="1">
        <v>9.0</v>
      </c>
      <c r="F13" s="17"/>
    </row>
    <row r="14" ht="18.0" customHeight="1">
      <c r="A14" s="6">
        <v>11.0</v>
      </c>
      <c r="B14" s="1" t="s">
        <v>59</v>
      </c>
      <c r="C14" s="1">
        <v>7.74</v>
      </c>
      <c r="D14" s="1">
        <v>16.0</v>
      </c>
      <c r="F14" s="17"/>
    </row>
    <row r="15" ht="18.0" customHeight="1">
      <c r="A15" s="6">
        <v>12.0</v>
      </c>
      <c r="B15" s="1" t="s">
        <v>60</v>
      </c>
      <c r="C15" s="1">
        <v>8.1</v>
      </c>
      <c r="D15" s="1">
        <v>11.0</v>
      </c>
      <c r="F15" s="17"/>
    </row>
    <row r="16" ht="18.0" customHeight="1">
      <c r="A16" s="6">
        <v>13.0</v>
      </c>
      <c r="B16" s="1" t="s">
        <v>61</v>
      </c>
      <c r="C16" s="1">
        <v>9.02</v>
      </c>
      <c r="D16" s="1">
        <v>12.0</v>
      </c>
      <c r="F16" s="17"/>
    </row>
    <row r="17" ht="18.0" customHeight="1">
      <c r="A17" s="6">
        <v>14.0</v>
      </c>
      <c r="B17" s="1" t="s">
        <v>62</v>
      </c>
      <c r="C17" s="1">
        <v>7.89</v>
      </c>
      <c r="D17" s="1">
        <v>10.0</v>
      </c>
      <c r="F17" s="17"/>
    </row>
    <row r="18" ht="18.0" customHeight="1">
      <c r="A18" s="6">
        <v>15.0</v>
      </c>
      <c r="B18" s="1" t="s">
        <v>63</v>
      </c>
      <c r="C18" s="1">
        <v>8.74</v>
      </c>
      <c r="D18" s="1">
        <v>8.0</v>
      </c>
      <c r="F18" s="17"/>
    </row>
    <row r="19" ht="18.0" customHeight="1">
      <c r="A19" s="6">
        <v>16.0</v>
      </c>
      <c r="B19" s="1" t="s">
        <v>64</v>
      </c>
      <c r="C19" s="1">
        <v>7.84</v>
      </c>
      <c r="D19" s="1">
        <v>6.0</v>
      </c>
      <c r="F19" s="17"/>
    </row>
    <row r="20" ht="18.0" customHeight="1">
      <c r="A20" s="6">
        <v>17.0</v>
      </c>
      <c r="B20" s="1" t="s">
        <v>65</v>
      </c>
      <c r="C20" s="1">
        <v>7.67</v>
      </c>
      <c r="D20" s="1">
        <v>4.0</v>
      </c>
      <c r="F20" s="17"/>
    </row>
    <row r="21" ht="18.0" customHeight="1">
      <c r="A21" s="14">
        <v>18.0</v>
      </c>
      <c r="B21" s="18" t="s">
        <v>66</v>
      </c>
      <c r="C21" s="18">
        <v>7.23</v>
      </c>
      <c r="D21" s="18">
        <v>8.0</v>
      </c>
      <c r="E21" s="19"/>
      <c r="F21" s="20"/>
    </row>
    <row r="22" ht="18.0" customHeight="1">
      <c r="A22" s="1"/>
      <c r="B22" s="1"/>
      <c r="C22" s="1"/>
      <c r="D22" s="1"/>
      <c r="E22" s="1"/>
      <c r="F22" s="1"/>
    </row>
    <row r="23" ht="18.0" customHeight="1">
      <c r="A23" s="1"/>
      <c r="B23" s="1"/>
      <c r="C23" s="1"/>
      <c r="D23" s="1"/>
      <c r="E23" s="1"/>
      <c r="F23" s="1"/>
    </row>
    <row r="24" ht="18.0" customHeight="1">
      <c r="A24" s="2" t="s">
        <v>67</v>
      </c>
    </row>
    <row r="25" ht="42.0" customHeight="1">
      <c r="A25" s="3" t="s">
        <v>4</v>
      </c>
      <c r="B25" s="4" t="s">
        <v>46</v>
      </c>
      <c r="C25" s="4" t="s">
        <v>68</v>
      </c>
      <c r="D25" s="4" t="s">
        <v>69</v>
      </c>
      <c r="E25" s="4" t="s">
        <v>8</v>
      </c>
      <c r="F25" s="5" t="s">
        <v>9</v>
      </c>
    </row>
    <row r="26" ht="18.0" customHeight="1">
      <c r="A26" s="6">
        <v>1.0</v>
      </c>
      <c r="B26" s="1" t="s">
        <v>54</v>
      </c>
      <c r="C26" s="1">
        <v>1.0</v>
      </c>
      <c r="D26" s="1">
        <v>2.0</v>
      </c>
      <c r="E26" s="1">
        <f t="shared" ref="E26:E43" si="1">C26-D26</f>
        <v>-1</v>
      </c>
      <c r="F26" s="7">
        <f t="shared" ref="F26:F43" si="2">E26^2</f>
        <v>1</v>
      </c>
    </row>
    <row r="27" ht="18.0" customHeight="1">
      <c r="A27" s="6">
        <v>2.0</v>
      </c>
      <c r="B27" s="1" t="s">
        <v>61</v>
      </c>
      <c r="C27" s="1">
        <v>2.0</v>
      </c>
      <c r="D27" s="1">
        <v>8.5</v>
      </c>
      <c r="E27" s="1">
        <f t="shared" si="1"/>
        <v>-6.5</v>
      </c>
      <c r="F27" s="7">
        <f t="shared" si="2"/>
        <v>42.25</v>
      </c>
    </row>
    <row r="28" ht="18.0" customHeight="1">
      <c r="A28" s="6">
        <v>3.0</v>
      </c>
      <c r="B28" s="1" t="s">
        <v>63</v>
      </c>
      <c r="C28" s="1">
        <v>3.0</v>
      </c>
      <c r="D28" s="1">
        <v>13.5</v>
      </c>
      <c r="E28" s="1">
        <f t="shared" si="1"/>
        <v>-10.5</v>
      </c>
      <c r="F28" s="7">
        <f t="shared" si="2"/>
        <v>110.25</v>
      </c>
    </row>
    <row r="29" ht="18.0" customHeight="1">
      <c r="A29" s="6">
        <v>4.0</v>
      </c>
      <c r="B29" s="1" t="s">
        <v>58</v>
      </c>
      <c r="C29" s="1">
        <v>4.0</v>
      </c>
      <c r="D29" s="1">
        <v>12.0</v>
      </c>
      <c r="E29" s="1">
        <f t="shared" si="1"/>
        <v>-8</v>
      </c>
      <c r="F29" s="7">
        <f t="shared" si="2"/>
        <v>64</v>
      </c>
    </row>
    <row r="30" ht="18.0" customHeight="1">
      <c r="A30" s="6">
        <v>5.0</v>
      </c>
      <c r="B30" s="1" t="s">
        <v>49</v>
      </c>
      <c r="C30" s="1">
        <v>5.0</v>
      </c>
      <c r="D30" s="1">
        <v>5.0</v>
      </c>
      <c r="E30" s="1">
        <f t="shared" si="1"/>
        <v>0</v>
      </c>
      <c r="F30" s="7">
        <f t="shared" si="2"/>
        <v>0</v>
      </c>
    </row>
    <row r="31" ht="18.0" customHeight="1">
      <c r="A31" s="6">
        <v>6.0</v>
      </c>
      <c r="B31" s="1" t="s">
        <v>56</v>
      </c>
      <c r="C31" s="1">
        <v>6.0</v>
      </c>
      <c r="D31" s="1">
        <v>3.0</v>
      </c>
      <c r="E31" s="1">
        <f t="shared" si="1"/>
        <v>3</v>
      </c>
      <c r="F31" s="7">
        <f t="shared" si="2"/>
        <v>9</v>
      </c>
    </row>
    <row r="32" ht="18.0" customHeight="1">
      <c r="A32" s="6">
        <v>7.0</v>
      </c>
      <c r="B32" s="1" t="s">
        <v>51</v>
      </c>
      <c r="C32" s="1">
        <v>7.0</v>
      </c>
      <c r="D32" s="1">
        <v>8.5</v>
      </c>
      <c r="E32" s="1">
        <f t="shared" si="1"/>
        <v>-1.5</v>
      </c>
      <c r="F32" s="7">
        <f t="shared" si="2"/>
        <v>2.25</v>
      </c>
    </row>
    <row r="33" ht="18.0" customHeight="1">
      <c r="A33" s="6">
        <v>8.0</v>
      </c>
      <c r="B33" s="1" t="s">
        <v>53</v>
      </c>
      <c r="C33" s="1">
        <v>8.0</v>
      </c>
      <c r="D33" s="1">
        <v>6.0</v>
      </c>
      <c r="E33" s="1">
        <f t="shared" si="1"/>
        <v>2</v>
      </c>
      <c r="F33" s="7">
        <f t="shared" si="2"/>
        <v>4</v>
      </c>
    </row>
    <row r="34" ht="18.0" customHeight="1">
      <c r="A34" s="6">
        <v>9.0</v>
      </c>
      <c r="B34" s="1" t="s">
        <v>55</v>
      </c>
      <c r="C34" s="1">
        <v>9.0</v>
      </c>
      <c r="D34" s="1">
        <v>7.0</v>
      </c>
      <c r="E34" s="1">
        <f t="shared" si="1"/>
        <v>2</v>
      </c>
      <c r="F34" s="7">
        <f t="shared" si="2"/>
        <v>4</v>
      </c>
    </row>
    <row r="35" ht="18.0" customHeight="1">
      <c r="A35" s="6">
        <v>10.0</v>
      </c>
      <c r="B35" s="1" t="s">
        <v>60</v>
      </c>
      <c r="C35" s="1">
        <v>10.0</v>
      </c>
      <c r="D35" s="1">
        <v>10.0</v>
      </c>
      <c r="E35" s="1">
        <f t="shared" si="1"/>
        <v>0</v>
      </c>
      <c r="F35" s="7">
        <f t="shared" si="2"/>
        <v>0</v>
      </c>
    </row>
    <row r="36" ht="18.0" customHeight="1">
      <c r="A36" s="6">
        <v>11.0</v>
      </c>
      <c r="B36" s="1" t="s">
        <v>57</v>
      </c>
      <c r="C36" s="1">
        <v>11.0</v>
      </c>
      <c r="D36" s="1">
        <v>1.0</v>
      </c>
      <c r="E36" s="1">
        <f t="shared" si="1"/>
        <v>10</v>
      </c>
      <c r="F36" s="7">
        <f t="shared" si="2"/>
        <v>100</v>
      </c>
    </row>
    <row r="37" ht="18.0" customHeight="1">
      <c r="A37" s="6">
        <v>12.0</v>
      </c>
      <c r="B37" s="1" t="s">
        <v>50</v>
      </c>
      <c r="C37" s="1">
        <v>12.5</v>
      </c>
      <c r="D37" s="1">
        <v>15.0</v>
      </c>
      <c r="E37" s="1">
        <f t="shared" si="1"/>
        <v>-2.5</v>
      </c>
      <c r="F37" s="7">
        <f t="shared" si="2"/>
        <v>6.25</v>
      </c>
    </row>
    <row r="38" ht="18.0" customHeight="1">
      <c r="A38" s="6">
        <v>13.0</v>
      </c>
      <c r="B38" s="1" t="s">
        <v>62</v>
      </c>
      <c r="C38" s="1">
        <v>12.5</v>
      </c>
      <c r="D38" s="1">
        <v>11.0</v>
      </c>
      <c r="E38" s="1">
        <f t="shared" si="1"/>
        <v>1.5</v>
      </c>
      <c r="F38" s="7">
        <f t="shared" si="2"/>
        <v>2.25</v>
      </c>
    </row>
    <row r="39" ht="18.0" customHeight="1">
      <c r="A39" s="6">
        <v>14.0</v>
      </c>
      <c r="B39" s="1" t="s">
        <v>64</v>
      </c>
      <c r="C39" s="1">
        <v>14.0</v>
      </c>
      <c r="D39" s="1">
        <v>16.0</v>
      </c>
      <c r="E39" s="1">
        <f t="shared" si="1"/>
        <v>-2</v>
      </c>
      <c r="F39" s="7">
        <f t="shared" si="2"/>
        <v>4</v>
      </c>
    </row>
    <row r="40" ht="18.0" customHeight="1">
      <c r="A40" s="6">
        <v>15.0</v>
      </c>
      <c r="B40" s="1" t="s">
        <v>59</v>
      </c>
      <c r="C40" s="1">
        <v>15.0</v>
      </c>
      <c r="D40" s="1">
        <v>4.0</v>
      </c>
      <c r="E40" s="1">
        <f t="shared" si="1"/>
        <v>11</v>
      </c>
      <c r="F40" s="7">
        <f t="shared" si="2"/>
        <v>121</v>
      </c>
    </row>
    <row r="41" ht="18.0" customHeight="1">
      <c r="A41" s="6">
        <v>16.0</v>
      </c>
      <c r="B41" s="1" t="s">
        <v>65</v>
      </c>
      <c r="C41" s="1">
        <v>16.0</v>
      </c>
      <c r="D41" s="1">
        <v>18.0</v>
      </c>
      <c r="E41" s="1">
        <f t="shared" si="1"/>
        <v>-2</v>
      </c>
      <c r="F41" s="7">
        <f t="shared" si="2"/>
        <v>4</v>
      </c>
    </row>
    <row r="42" ht="18.0" customHeight="1">
      <c r="A42" s="6">
        <v>17.0</v>
      </c>
      <c r="B42" s="1" t="s">
        <v>66</v>
      </c>
      <c r="C42" s="1">
        <v>17.0</v>
      </c>
      <c r="D42" s="1">
        <v>13.5</v>
      </c>
      <c r="E42" s="1">
        <f t="shared" si="1"/>
        <v>3.5</v>
      </c>
      <c r="F42" s="7">
        <f t="shared" si="2"/>
        <v>12.25</v>
      </c>
    </row>
    <row r="43" ht="18.0" customHeight="1">
      <c r="A43" s="6">
        <v>18.0</v>
      </c>
      <c r="B43" s="1" t="s">
        <v>52</v>
      </c>
      <c r="C43" s="1">
        <v>18.0</v>
      </c>
      <c r="D43" s="1">
        <v>17.0</v>
      </c>
      <c r="E43" s="1">
        <f t="shared" si="1"/>
        <v>1</v>
      </c>
      <c r="F43" s="7">
        <f t="shared" si="2"/>
        <v>1</v>
      </c>
    </row>
    <row r="44" ht="18.0" customHeight="1">
      <c r="A44" s="8" t="s">
        <v>30</v>
      </c>
      <c r="B44" s="9"/>
      <c r="C44" s="9"/>
      <c r="D44" s="9"/>
      <c r="E44" s="10">
        <f t="shared" ref="E44:F44" si="3">SUM(E26:E43)</f>
        <v>0</v>
      </c>
      <c r="F44" s="11">
        <f t="shared" si="3"/>
        <v>487.5</v>
      </c>
    </row>
    <row r="45" ht="18.0" customHeight="1">
      <c r="A45" s="1"/>
      <c r="B45" s="1"/>
      <c r="C45" s="1"/>
      <c r="D45" s="1"/>
      <c r="E45" s="1"/>
      <c r="F45" s="1"/>
    </row>
    <row r="46" ht="18.0" customHeight="1">
      <c r="A46" s="2" t="s">
        <v>70</v>
      </c>
    </row>
    <row r="47" ht="18.0" customHeight="1">
      <c r="A47" s="1" t="s">
        <v>71</v>
      </c>
    </row>
    <row r="48" ht="18.0" customHeight="1">
      <c r="A48" s="1"/>
      <c r="B48" s="1"/>
      <c r="C48" s="1"/>
      <c r="D48" s="1"/>
      <c r="E48" s="1"/>
      <c r="F48" s="1"/>
    </row>
    <row r="49" ht="18.0" customHeight="1">
      <c r="A49" s="1" t="s">
        <v>72</v>
      </c>
      <c r="D49" s="1" t="s">
        <v>73</v>
      </c>
      <c r="E49" s="1">
        <v>2.0</v>
      </c>
      <c r="F49" s="1"/>
    </row>
    <row r="50" ht="18.0" customHeight="1">
      <c r="A50" s="1" t="s">
        <v>74</v>
      </c>
      <c r="D50" s="1" t="s">
        <v>75</v>
      </c>
      <c r="E50" s="1">
        <f>(E49^3-E49)/12</f>
        <v>0.5</v>
      </c>
      <c r="F50" s="1"/>
    </row>
    <row r="51" ht="18.0" customHeight="1">
      <c r="A51" s="1"/>
      <c r="B51" s="1"/>
      <c r="C51" s="1"/>
      <c r="D51" s="1"/>
      <c r="E51" s="1"/>
      <c r="F51" s="1"/>
    </row>
    <row r="52" ht="18.0" customHeight="1">
      <c r="A52" s="1" t="s">
        <v>76</v>
      </c>
      <c r="D52" s="1" t="s">
        <v>77</v>
      </c>
      <c r="E52" s="1">
        <v>2.0</v>
      </c>
      <c r="F52" s="1"/>
    </row>
    <row r="53" ht="18.0" customHeight="1">
      <c r="A53" s="1"/>
      <c r="D53" s="1" t="s">
        <v>78</v>
      </c>
      <c r="E53" s="1">
        <v>2.0</v>
      </c>
      <c r="F53" s="1"/>
    </row>
    <row r="54" ht="18.0" customHeight="1">
      <c r="A54" s="1" t="s">
        <v>79</v>
      </c>
      <c r="D54" s="1" t="s">
        <v>80</v>
      </c>
      <c r="E54" s="1">
        <f>((E52^3-E52)+(E53^3-E53))/12</f>
        <v>1</v>
      </c>
      <c r="F54" s="1"/>
    </row>
    <row r="55" ht="18.0" customHeight="1">
      <c r="A55" s="1"/>
      <c r="B55" s="1"/>
      <c r="C55" s="1"/>
      <c r="D55" s="1"/>
      <c r="E55" s="1"/>
      <c r="F55" s="1"/>
    </row>
    <row r="56" ht="18.0" customHeight="1">
      <c r="A56" s="1" t="s">
        <v>31</v>
      </c>
    </row>
    <row r="57" ht="18.0" customHeight="1">
      <c r="A57" s="2" t="s">
        <v>81</v>
      </c>
    </row>
    <row r="58" ht="18.0" customHeight="1">
      <c r="A58" s="1"/>
      <c r="B58" s="1"/>
      <c r="C58" s="1"/>
      <c r="D58" s="1"/>
      <c r="E58" s="1"/>
      <c r="F58" s="1"/>
    </row>
    <row r="59" ht="18.0" customHeight="1">
      <c r="A59" s="1" t="s">
        <v>82</v>
      </c>
      <c r="C59" s="21">
        <f>COUNT(C26:C43)</f>
        <v>18</v>
      </c>
      <c r="D59" s="1"/>
      <c r="E59" s="1"/>
      <c r="F59" s="1"/>
    </row>
    <row r="60" ht="18.0" customHeight="1">
      <c r="A60" s="1" t="s">
        <v>34</v>
      </c>
      <c r="C60" s="1">
        <f>F44</f>
        <v>487.5</v>
      </c>
      <c r="D60" s="1"/>
      <c r="E60" s="1"/>
      <c r="F60" s="1"/>
    </row>
    <row r="61" ht="18.0" customHeight="1">
      <c r="A61" s="1" t="s">
        <v>74</v>
      </c>
      <c r="C61" s="1">
        <f>E50</f>
        <v>0.5</v>
      </c>
      <c r="D61" s="1"/>
      <c r="E61" s="1"/>
      <c r="F61" s="1"/>
    </row>
    <row r="62" ht="18.0" customHeight="1">
      <c r="A62" s="1" t="s">
        <v>79</v>
      </c>
      <c r="C62" s="1">
        <f>E54</f>
        <v>1</v>
      </c>
      <c r="D62" s="1"/>
      <c r="E62" s="1"/>
      <c r="F62" s="1"/>
    </row>
    <row r="63" ht="18.0" customHeight="1">
      <c r="A63" s="1" t="s">
        <v>83</v>
      </c>
      <c r="C63" s="1">
        <f>1-(6*(C60+C61+C62))/(C59*(C59^2-1))</f>
        <v>0.4953560372</v>
      </c>
      <c r="D63" s="1"/>
      <c r="E63" s="1"/>
      <c r="F63" s="1"/>
    </row>
    <row r="64" ht="18.0" customHeight="1">
      <c r="A64" s="1" t="s">
        <v>84</v>
      </c>
      <c r="C64" s="1">
        <f>1-(6*C60)/(C59*(C59^2-1))</f>
        <v>0.4969040248</v>
      </c>
      <c r="D64" s="1"/>
      <c r="E64" s="1"/>
      <c r="F64" s="1"/>
    </row>
    <row r="65" ht="18.0" customHeight="1">
      <c r="A65" s="1" t="s">
        <v>85</v>
      </c>
      <c r="B65" s="1"/>
      <c r="C65" s="22">
        <f>CORREL(C26:C43,D26:D43)</f>
        <v>0.4961240973</v>
      </c>
      <c r="D65" s="1"/>
      <c r="E65" s="1"/>
      <c r="F65" s="1"/>
    </row>
    <row r="66" ht="18.0" customHeight="1">
      <c r="A66" s="2" t="s">
        <v>86</v>
      </c>
    </row>
    <row r="67" ht="18.0" customHeight="1">
      <c r="A67" s="1" t="s">
        <v>37</v>
      </c>
      <c r="B67" s="1" t="s">
        <v>38</v>
      </c>
      <c r="C67" s="1"/>
      <c r="D67" s="1"/>
      <c r="E67" s="1"/>
      <c r="F67" s="1"/>
    </row>
    <row r="68" ht="18.0" customHeight="1">
      <c r="A68" s="2" t="s">
        <v>39</v>
      </c>
    </row>
    <row r="69" ht="18.0" customHeight="1">
      <c r="A69" s="12" t="s">
        <v>40</v>
      </c>
      <c r="B69" s="13">
        <v>0.6</v>
      </c>
      <c r="C69" s="1"/>
      <c r="D69" s="1"/>
      <c r="E69" s="1"/>
      <c r="F69" s="1"/>
    </row>
    <row r="70" ht="18.0" customHeight="1">
      <c r="A70" s="6"/>
      <c r="B70" s="7"/>
      <c r="C70" s="1"/>
      <c r="D70" s="1"/>
      <c r="E70" s="1"/>
      <c r="F70" s="1"/>
    </row>
    <row r="71" ht="18.0" customHeight="1">
      <c r="A71" s="14" t="s">
        <v>87</v>
      </c>
      <c r="B71" s="19"/>
      <c r="C71" s="19"/>
      <c r="D71" s="19"/>
      <c r="E71" s="19"/>
      <c r="F71" s="19"/>
    </row>
    <row r="72" ht="18.0" customHeight="1">
      <c r="A72" s="1" t="s">
        <v>42</v>
      </c>
      <c r="C72" s="1" t="str">
        <f>IF(ABS(C63)&gt;=B68,"|rs| &gt;= rs крит (0.05)","|rs| &lt; rs крит (0.05)")</f>
        <v>|rs| &gt;= rs крит (0.05)</v>
      </c>
    </row>
    <row r="73" ht="18.0" customHeight="1">
      <c r="A73" s="2" t="s">
        <v>43</v>
      </c>
    </row>
    <row r="74" ht="18.0" customHeight="1">
      <c r="A74" s="1" t="s">
        <v>44</v>
      </c>
      <c r="C74" s="1" t="str">
        <f>IF(ABS(C63)&gt;=B68,"Принимается H₁ (корреляция значима)","Принимается H₀ (корреляция не значима)")</f>
        <v>Принимается H₁ (корреляция значима)</v>
      </c>
    </row>
    <row r="75" ht="18.0" customHeight="1">
      <c r="A75" s="1"/>
      <c r="B75" s="1"/>
      <c r="C75" s="1"/>
    </row>
    <row r="76" ht="18.0" customHeight="1">
      <c r="A76" s="2"/>
    </row>
    <row r="77" ht="54.0" customHeight="1">
      <c r="A77" s="1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48">
    <mergeCell ref="A2:F2"/>
    <mergeCell ref="D3:F3"/>
    <mergeCell ref="D4:F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A24:F24"/>
    <mergeCell ref="A44:D44"/>
    <mergeCell ref="A46:F46"/>
    <mergeCell ref="A47:F47"/>
    <mergeCell ref="A49:C49"/>
    <mergeCell ref="A50:C50"/>
    <mergeCell ref="A52:C52"/>
    <mergeCell ref="A53:C53"/>
    <mergeCell ref="A54:C54"/>
    <mergeCell ref="A56:F56"/>
    <mergeCell ref="A57:F57"/>
    <mergeCell ref="A59:B59"/>
    <mergeCell ref="A60:B60"/>
    <mergeCell ref="A61:B61"/>
    <mergeCell ref="A62:B62"/>
    <mergeCell ref="A72:B72"/>
    <mergeCell ref="A74:B74"/>
    <mergeCell ref="C74:F74"/>
    <mergeCell ref="C75:F75"/>
    <mergeCell ref="A76:F76"/>
    <mergeCell ref="A77:F77"/>
    <mergeCell ref="A63:B63"/>
    <mergeCell ref="A64:B64"/>
    <mergeCell ref="A66:F66"/>
    <mergeCell ref="A68:F68"/>
    <mergeCell ref="A71:F71"/>
    <mergeCell ref="C72:F72"/>
    <mergeCell ref="A73:F73"/>
  </mergeCells>
  <printOptions/>
  <pageMargins bottom="0.75" footer="0.0" header="0.0" left="0.7" right="0.7" top="0.75"/>
  <pageSetup orientation="landscape"/>
  <drawing r:id="rId1"/>
</worksheet>
</file>